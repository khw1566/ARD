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hw\Desktop\ARD_v1\ARD_hardware\TRCR_Project\BaseDATA\"/>
    </mc:Choice>
  </mc:AlternateContent>
  <xr:revisionPtr revIDLastSave="0" documentId="13_ncr:1_{E9BBE6D1-C234-49B8-9C98-394D999AF17A}" xr6:coauthVersionLast="47" xr6:coauthVersionMax="47" xr10:uidLastSave="{00000000-0000-0000-0000-000000000000}"/>
  <bookViews>
    <workbookView xWindow="-108" yWindow="-108" windowWidth="23256" windowHeight="12456" activeTab="1" xr2:uid="{F21A6AF7-9AB8-4F30-A560-4D57CDE648BF}"/>
  </bookViews>
  <sheets>
    <sheet name="메인" sheetId="6" r:id="rId1"/>
    <sheet name="사이클로이드" sheetId="1" r:id="rId2"/>
    <sheet name="다이어프램 펌프" sheetId="8" r:id="rId3"/>
    <sheet name="치형연구" sheetId="7" r:id="rId4"/>
    <sheet name="에피,하이포" sheetId="2" r:id="rId5"/>
    <sheet name="기계요소" sheetId="3" r:id="rId6"/>
    <sheet name="전자" sheetId="4" r:id="rId7"/>
    <sheet name="Sheet3" sheetId="5" r:id="rId8"/>
  </sheets>
  <definedNames>
    <definedName name="_xlnm._FilterDatabase" localSheetId="5" hidden="1">기계요소!$A$2:$G$2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11" i="1"/>
  <c r="B6" i="1"/>
  <c r="B7" i="1"/>
  <c r="B2" i="7"/>
  <c r="B3" i="7"/>
  <c r="B4" i="7"/>
  <c r="B5" i="7"/>
  <c r="B6" i="7"/>
  <c r="B7" i="7"/>
  <c r="B8" i="7"/>
  <c r="B9" i="7"/>
  <c r="B10" i="7"/>
  <c r="G1" i="7" s="1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1" i="7"/>
  <c r="L5" i="6"/>
  <c r="L6" i="6"/>
  <c r="L7" i="6"/>
  <c r="L8" i="6"/>
  <c r="L9" i="6"/>
  <c r="L10" i="6"/>
  <c r="L11" i="6"/>
  <c r="L4" i="6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2" i="1"/>
  <c r="I2" i="1"/>
  <c r="I2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J2" i="2"/>
  <c r="E3" i="2"/>
  <c r="F3" i="2"/>
  <c r="G3" i="2"/>
  <c r="H3" i="2"/>
  <c r="E4" i="2"/>
  <c r="F4" i="2"/>
  <c r="G4" i="2"/>
  <c r="H4" i="2"/>
  <c r="E5" i="2"/>
  <c r="F5" i="2"/>
  <c r="G5" i="2"/>
  <c r="H5" i="2"/>
  <c r="E6" i="2"/>
  <c r="F6" i="2"/>
  <c r="G6" i="2"/>
  <c r="H6" i="2"/>
  <c r="E7" i="2"/>
  <c r="F7" i="2"/>
  <c r="G7" i="2"/>
  <c r="H7" i="2"/>
  <c r="E8" i="2"/>
  <c r="F8" i="2"/>
  <c r="G8" i="2"/>
  <c r="H8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5" i="2"/>
  <c r="F25" i="2"/>
  <c r="G25" i="2"/>
  <c r="H25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8" i="2"/>
  <c r="F38" i="2"/>
  <c r="G38" i="2"/>
  <c r="H38" i="2"/>
  <c r="E39" i="2"/>
  <c r="F39" i="2"/>
  <c r="G39" i="2"/>
  <c r="H39" i="2"/>
  <c r="E40" i="2"/>
  <c r="F40" i="2"/>
  <c r="G40" i="2"/>
  <c r="H40" i="2"/>
  <c r="E41" i="2"/>
  <c r="F41" i="2"/>
  <c r="G41" i="2"/>
  <c r="H41" i="2"/>
  <c r="E42" i="2"/>
  <c r="F42" i="2"/>
  <c r="G42" i="2"/>
  <c r="H42" i="2"/>
  <c r="E43" i="2"/>
  <c r="F43" i="2"/>
  <c r="G43" i="2"/>
  <c r="H43" i="2"/>
  <c r="E44" i="2"/>
  <c r="F44" i="2"/>
  <c r="G44" i="2"/>
  <c r="H44" i="2"/>
  <c r="E45" i="2"/>
  <c r="F45" i="2"/>
  <c r="G45" i="2"/>
  <c r="H45" i="2"/>
  <c r="E46" i="2"/>
  <c r="F46" i="2"/>
  <c r="G46" i="2"/>
  <c r="H46" i="2"/>
  <c r="E47" i="2"/>
  <c r="F47" i="2"/>
  <c r="G47" i="2"/>
  <c r="H47" i="2"/>
  <c r="E48" i="2"/>
  <c r="F48" i="2"/>
  <c r="G48" i="2"/>
  <c r="H48" i="2"/>
  <c r="E49" i="2"/>
  <c r="F49" i="2"/>
  <c r="G49" i="2"/>
  <c r="H49" i="2"/>
  <c r="E50" i="2"/>
  <c r="F50" i="2"/>
  <c r="G50" i="2"/>
  <c r="H50" i="2"/>
  <c r="E51" i="2"/>
  <c r="F51" i="2"/>
  <c r="G51" i="2"/>
  <c r="H51" i="2"/>
  <c r="E52" i="2"/>
  <c r="F52" i="2"/>
  <c r="G52" i="2"/>
  <c r="H52" i="2"/>
  <c r="E53" i="2"/>
  <c r="F53" i="2"/>
  <c r="G53" i="2"/>
  <c r="H53" i="2"/>
  <c r="E54" i="2"/>
  <c r="F54" i="2"/>
  <c r="G54" i="2"/>
  <c r="H54" i="2"/>
  <c r="E55" i="2"/>
  <c r="F55" i="2"/>
  <c r="G55" i="2"/>
  <c r="H55" i="2"/>
  <c r="E56" i="2"/>
  <c r="F56" i="2"/>
  <c r="G56" i="2"/>
  <c r="H56" i="2"/>
  <c r="E57" i="2"/>
  <c r="F57" i="2"/>
  <c r="G57" i="2"/>
  <c r="H57" i="2"/>
  <c r="E58" i="2"/>
  <c r="F58" i="2"/>
  <c r="G58" i="2"/>
  <c r="H58" i="2"/>
  <c r="E59" i="2"/>
  <c r="F59" i="2"/>
  <c r="G59" i="2"/>
  <c r="H59" i="2"/>
  <c r="E60" i="2"/>
  <c r="F60" i="2"/>
  <c r="G60" i="2"/>
  <c r="H60" i="2"/>
  <c r="E61" i="2"/>
  <c r="F61" i="2"/>
  <c r="G61" i="2"/>
  <c r="H61" i="2"/>
  <c r="E62" i="2"/>
  <c r="F62" i="2"/>
  <c r="G62" i="2"/>
  <c r="H62" i="2"/>
  <c r="E63" i="2"/>
  <c r="F63" i="2"/>
  <c r="G63" i="2"/>
  <c r="H63" i="2"/>
  <c r="E64" i="2"/>
  <c r="F64" i="2"/>
  <c r="G64" i="2"/>
  <c r="H64" i="2"/>
  <c r="E65" i="2"/>
  <c r="F65" i="2"/>
  <c r="G65" i="2"/>
  <c r="H65" i="2"/>
  <c r="E66" i="2"/>
  <c r="F66" i="2"/>
  <c r="G66" i="2"/>
  <c r="H66" i="2"/>
  <c r="E67" i="2"/>
  <c r="F67" i="2"/>
  <c r="G67" i="2"/>
  <c r="H67" i="2"/>
  <c r="E68" i="2"/>
  <c r="F68" i="2"/>
  <c r="G68" i="2"/>
  <c r="H68" i="2"/>
  <c r="E69" i="2"/>
  <c r="F69" i="2"/>
  <c r="G69" i="2"/>
  <c r="H69" i="2"/>
  <c r="E70" i="2"/>
  <c r="F70" i="2"/>
  <c r="G70" i="2"/>
  <c r="H70" i="2"/>
  <c r="E71" i="2"/>
  <c r="F71" i="2"/>
  <c r="G71" i="2"/>
  <c r="H71" i="2"/>
  <c r="E72" i="2"/>
  <c r="F72" i="2"/>
  <c r="G72" i="2"/>
  <c r="H72" i="2"/>
  <c r="E73" i="2"/>
  <c r="F73" i="2"/>
  <c r="G73" i="2"/>
  <c r="H73" i="2"/>
  <c r="E74" i="2"/>
  <c r="F74" i="2"/>
  <c r="G74" i="2"/>
  <c r="H74" i="2"/>
  <c r="E75" i="2"/>
  <c r="F75" i="2"/>
  <c r="G75" i="2"/>
  <c r="H75" i="2"/>
  <c r="E76" i="2"/>
  <c r="F76" i="2"/>
  <c r="G76" i="2"/>
  <c r="H76" i="2"/>
  <c r="E77" i="2"/>
  <c r="F77" i="2"/>
  <c r="G77" i="2"/>
  <c r="H77" i="2"/>
  <c r="E78" i="2"/>
  <c r="F78" i="2"/>
  <c r="G78" i="2"/>
  <c r="H78" i="2"/>
  <c r="E79" i="2"/>
  <c r="F79" i="2"/>
  <c r="G79" i="2"/>
  <c r="H79" i="2"/>
  <c r="E80" i="2"/>
  <c r="F80" i="2"/>
  <c r="G80" i="2"/>
  <c r="H80" i="2"/>
  <c r="E81" i="2"/>
  <c r="F81" i="2"/>
  <c r="G81" i="2"/>
  <c r="H81" i="2"/>
  <c r="E82" i="2"/>
  <c r="F82" i="2"/>
  <c r="G82" i="2"/>
  <c r="H82" i="2"/>
  <c r="E83" i="2"/>
  <c r="F83" i="2"/>
  <c r="G83" i="2"/>
  <c r="H83" i="2"/>
  <c r="E84" i="2"/>
  <c r="F84" i="2"/>
  <c r="G84" i="2"/>
  <c r="H84" i="2"/>
  <c r="E85" i="2"/>
  <c r="F85" i="2"/>
  <c r="G85" i="2"/>
  <c r="H85" i="2"/>
  <c r="E86" i="2"/>
  <c r="F86" i="2"/>
  <c r="G86" i="2"/>
  <c r="H86" i="2"/>
  <c r="E87" i="2"/>
  <c r="F87" i="2"/>
  <c r="G87" i="2"/>
  <c r="H87" i="2"/>
  <c r="E88" i="2"/>
  <c r="F88" i="2"/>
  <c r="G88" i="2"/>
  <c r="H88" i="2"/>
  <c r="E89" i="2"/>
  <c r="F89" i="2"/>
  <c r="G89" i="2"/>
  <c r="H89" i="2"/>
  <c r="E90" i="2"/>
  <c r="F90" i="2"/>
  <c r="G90" i="2"/>
  <c r="H90" i="2"/>
  <c r="E91" i="2"/>
  <c r="F91" i="2"/>
  <c r="G91" i="2"/>
  <c r="H91" i="2"/>
  <c r="E92" i="2"/>
  <c r="F92" i="2"/>
  <c r="G92" i="2"/>
  <c r="H92" i="2"/>
  <c r="E93" i="2"/>
  <c r="F93" i="2"/>
  <c r="G93" i="2"/>
  <c r="H93" i="2"/>
  <c r="E94" i="2"/>
  <c r="F94" i="2"/>
  <c r="G94" i="2"/>
  <c r="H94" i="2"/>
  <c r="E95" i="2"/>
  <c r="F95" i="2"/>
  <c r="G95" i="2"/>
  <c r="H95" i="2"/>
  <c r="E96" i="2"/>
  <c r="F96" i="2"/>
  <c r="G96" i="2"/>
  <c r="H96" i="2"/>
  <c r="E97" i="2"/>
  <c r="F97" i="2"/>
  <c r="G97" i="2"/>
  <c r="H97" i="2"/>
  <c r="E98" i="2"/>
  <c r="F98" i="2"/>
  <c r="G98" i="2"/>
  <c r="H98" i="2"/>
  <c r="E99" i="2"/>
  <c r="F99" i="2"/>
  <c r="G99" i="2"/>
  <c r="H99" i="2"/>
  <c r="E100" i="2"/>
  <c r="F100" i="2"/>
  <c r="G100" i="2"/>
  <c r="H100" i="2"/>
  <c r="E101" i="2"/>
  <c r="F101" i="2"/>
  <c r="G101" i="2"/>
  <c r="H101" i="2"/>
  <c r="E102" i="2"/>
  <c r="F102" i="2"/>
  <c r="G102" i="2"/>
  <c r="H102" i="2"/>
  <c r="E103" i="2"/>
  <c r="F103" i="2"/>
  <c r="G103" i="2"/>
  <c r="H103" i="2"/>
  <c r="E104" i="2"/>
  <c r="F104" i="2"/>
  <c r="G104" i="2"/>
  <c r="H104" i="2"/>
  <c r="E105" i="2"/>
  <c r="F105" i="2"/>
  <c r="G105" i="2"/>
  <c r="H105" i="2"/>
  <c r="E106" i="2"/>
  <c r="F106" i="2"/>
  <c r="G106" i="2"/>
  <c r="H106" i="2"/>
  <c r="E107" i="2"/>
  <c r="F107" i="2"/>
  <c r="G107" i="2"/>
  <c r="H107" i="2"/>
  <c r="E108" i="2"/>
  <c r="F108" i="2"/>
  <c r="G108" i="2"/>
  <c r="H108" i="2"/>
  <c r="E109" i="2"/>
  <c r="F109" i="2"/>
  <c r="G109" i="2"/>
  <c r="H109" i="2"/>
  <c r="E110" i="2"/>
  <c r="F110" i="2"/>
  <c r="G110" i="2"/>
  <c r="H110" i="2"/>
  <c r="E111" i="2"/>
  <c r="F111" i="2"/>
  <c r="G111" i="2"/>
  <c r="H111" i="2"/>
  <c r="E112" i="2"/>
  <c r="F112" i="2"/>
  <c r="G112" i="2"/>
  <c r="H112" i="2"/>
  <c r="E113" i="2"/>
  <c r="F113" i="2"/>
  <c r="G113" i="2"/>
  <c r="H113" i="2"/>
  <c r="E114" i="2"/>
  <c r="F114" i="2"/>
  <c r="G114" i="2"/>
  <c r="H114" i="2"/>
  <c r="E115" i="2"/>
  <c r="F115" i="2"/>
  <c r="G115" i="2"/>
  <c r="H115" i="2"/>
  <c r="E116" i="2"/>
  <c r="F116" i="2"/>
  <c r="G116" i="2"/>
  <c r="H116" i="2"/>
  <c r="E117" i="2"/>
  <c r="F117" i="2"/>
  <c r="G117" i="2"/>
  <c r="H117" i="2"/>
  <c r="E118" i="2"/>
  <c r="F118" i="2"/>
  <c r="G118" i="2"/>
  <c r="H118" i="2"/>
  <c r="E119" i="2"/>
  <c r="F119" i="2"/>
  <c r="G119" i="2"/>
  <c r="H119" i="2"/>
  <c r="E120" i="2"/>
  <c r="F120" i="2"/>
  <c r="G120" i="2"/>
  <c r="H120" i="2"/>
  <c r="E121" i="2"/>
  <c r="F121" i="2"/>
  <c r="G121" i="2"/>
  <c r="H121" i="2"/>
  <c r="E122" i="2"/>
  <c r="F122" i="2"/>
  <c r="G122" i="2"/>
  <c r="H122" i="2"/>
  <c r="E123" i="2"/>
  <c r="F123" i="2"/>
  <c r="G123" i="2"/>
  <c r="H123" i="2"/>
  <c r="E124" i="2"/>
  <c r="F124" i="2"/>
  <c r="G124" i="2"/>
  <c r="H124" i="2"/>
  <c r="E125" i="2"/>
  <c r="F125" i="2"/>
  <c r="G125" i="2"/>
  <c r="H125" i="2"/>
  <c r="E126" i="2"/>
  <c r="F126" i="2"/>
  <c r="G126" i="2"/>
  <c r="H126" i="2"/>
  <c r="E127" i="2"/>
  <c r="F127" i="2"/>
  <c r="G127" i="2"/>
  <c r="H127" i="2"/>
  <c r="E128" i="2"/>
  <c r="F128" i="2"/>
  <c r="G128" i="2"/>
  <c r="H128" i="2"/>
  <c r="E129" i="2"/>
  <c r="F129" i="2"/>
  <c r="G129" i="2"/>
  <c r="H129" i="2"/>
  <c r="E130" i="2"/>
  <c r="F130" i="2"/>
  <c r="G130" i="2"/>
  <c r="H130" i="2"/>
  <c r="E131" i="2"/>
  <c r="F131" i="2"/>
  <c r="G131" i="2"/>
  <c r="H131" i="2"/>
  <c r="E132" i="2"/>
  <c r="F132" i="2"/>
  <c r="G132" i="2"/>
  <c r="H132" i="2"/>
  <c r="E133" i="2"/>
  <c r="F133" i="2"/>
  <c r="G133" i="2"/>
  <c r="H133" i="2"/>
  <c r="E134" i="2"/>
  <c r="F134" i="2"/>
  <c r="G134" i="2"/>
  <c r="H134" i="2"/>
  <c r="E135" i="2"/>
  <c r="F135" i="2"/>
  <c r="G135" i="2"/>
  <c r="H135" i="2"/>
  <c r="E136" i="2"/>
  <c r="F136" i="2"/>
  <c r="G136" i="2"/>
  <c r="H136" i="2"/>
  <c r="E137" i="2"/>
  <c r="F137" i="2"/>
  <c r="G137" i="2"/>
  <c r="H137" i="2"/>
  <c r="E138" i="2"/>
  <c r="F138" i="2"/>
  <c r="G138" i="2"/>
  <c r="H138" i="2"/>
  <c r="E139" i="2"/>
  <c r="F139" i="2"/>
  <c r="G139" i="2"/>
  <c r="H139" i="2"/>
  <c r="E140" i="2"/>
  <c r="F140" i="2"/>
  <c r="G140" i="2"/>
  <c r="H140" i="2"/>
  <c r="E141" i="2"/>
  <c r="F141" i="2"/>
  <c r="G141" i="2"/>
  <c r="H141" i="2"/>
  <c r="E142" i="2"/>
  <c r="F142" i="2"/>
  <c r="G142" i="2"/>
  <c r="H142" i="2"/>
  <c r="E143" i="2"/>
  <c r="F143" i="2"/>
  <c r="G143" i="2"/>
  <c r="H143" i="2"/>
  <c r="E144" i="2"/>
  <c r="F144" i="2"/>
  <c r="G144" i="2"/>
  <c r="H144" i="2"/>
  <c r="E145" i="2"/>
  <c r="F145" i="2"/>
  <c r="G145" i="2"/>
  <c r="H145" i="2"/>
  <c r="E146" i="2"/>
  <c r="F146" i="2"/>
  <c r="G146" i="2"/>
  <c r="H146" i="2"/>
  <c r="E147" i="2"/>
  <c r="F147" i="2"/>
  <c r="G147" i="2"/>
  <c r="H147" i="2"/>
  <c r="E148" i="2"/>
  <c r="F148" i="2"/>
  <c r="G148" i="2"/>
  <c r="H148" i="2"/>
  <c r="E149" i="2"/>
  <c r="F149" i="2"/>
  <c r="G149" i="2"/>
  <c r="H149" i="2"/>
  <c r="E150" i="2"/>
  <c r="F150" i="2"/>
  <c r="G150" i="2"/>
  <c r="H150" i="2"/>
  <c r="E151" i="2"/>
  <c r="F151" i="2"/>
  <c r="G151" i="2"/>
  <c r="H151" i="2"/>
  <c r="E152" i="2"/>
  <c r="F152" i="2"/>
  <c r="G152" i="2"/>
  <c r="H152" i="2"/>
  <c r="E153" i="2"/>
  <c r="F153" i="2"/>
  <c r="G153" i="2"/>
  <c r="H153" i="2"/>
  <c r="E154" i="2"/>
  <c r="F154" i="2"/>
  <c r="G154" i="2"/>
  <c r="H154" i="2"/>
  <c r="E155" i="2"/>
  <c r="F155" i="2"/>
  <c r="G155" i="2"/>
  <c r="H155" i="2"/>
  <c r="E156" i="2"/>
  <c r="F156" i="2"/>
  <c r="G156" i="2"/>
  <c r="H156" i="2"/>
  <c r="E157" i="2"/>
  <c r="F157" i="2"/>
  <c r="G157" i="2"/>
  <c r="H157" i="2"/>
  <c r="E158" i="2"/>
  <c r="F158" i="2"/>
  <c r="G158" i="2"/>
  <c r="H158" i="2"/>
  <c r="E159" i="2"/>
  <c r="F159" i="2"/>
  <c r="G159" i="2"/>
  <c r="H159" i="2"/>
  <c r="E160" i="2"/>
  <c r="F160" i="2"/>
  <c r="G160" i="2"/>
  <c r="H160" i="2"/>
  <c r="E161" i="2"/>
  <c r="F161" i="2"/>
  <c r="G161" i="2"/>
  <c r="H161" i="2"/>
  <c r="E162" i="2"/>
  <c r="F162" i="2"/>
  <c r="G162" i="2"/>
  <c r="H162" i="2"/>
  <c r="E163" i="2"/>
  <c r="F163" i="2"/>
  <c r="G163" i="2"/>
  <c r="H163" i="2"/>
  <c r="E164" i="2"/>
  <c r="F164" i="2"/>
  <c r="G164" i="2"/>
  <c r="H164" i="2"/>
  <c r="E165" i="2"/>
  <c r="F165" i="2"/>
  <c r="G165" i="2"/>
  <c r="H165" i="2"/>
  <c r="E166" i="2"/>
  <c r="F166" i="2"/>
  <c r="G166" i="2"/>
  <c r="H166" i="2"/>
  <c r="E167" i="2"/>
  <c r="F167" i="2"/>
  <c r="G167" i="2"/>
  <c r="H167" i="2"/>
  <c r="E168" i="2"/>
  <c r="F168" i="2"/>
  <c r="G168" i="2"/>
  <c r="H168" i="2"/>
  <c r="E169" i="2"/>
  <c r="F169" i="2"/>
  <c r="G169" i="2"/>
  <c r="H169" i="2"/>
  <c r="E170" i="2"/>
  <c r="F170" i="2"/>
  <c r="G170" i="2"/>
  <c r="H170" i="2"/>
  <c r="E171" i="2"/>
  <c r="F171" i="2"/>
  <c r="G171" i="2"/>
  <c r="H171" i="2"/>
  <c r="E172" i="2"/>
  <c r="F172" i="2"/>
  <c r="G172" i="2"/>
  <c r="H172" i="2"/>
  <c r="E173" i="2"/>
  <c r="F173" i="2"/>
  <c r="G173" i="2"/>
  <c r="H173" i="2"/>
  <c r="E174" i="2"/>
  <c r="F174" i="2"/>
  <c r="G174" i="2"/>
  <c r="H174" i="2"/>
  <c r="E175" i="2"/>
  <c r="F175" i="2"/>
  <c r="G175" i="2"/>
  <c r="H175" i="2"/>
  <c r="E176" i="2"/>
  <c r="F176" i="2"/>
  <c r="G176" i="2"/>
  <c r="H176" i="2"/>
  <c r="E177" i="2"/>
  <c r="F177" i="2"/>
  <c r="G177" i="2"/>
  <c r="H177" i="2"/>
  <c r="E178" i="2"/>
  <c r="F178" i="2"/>
  <c r="G178" i="2"/>
  <c r="H178" i="2"/>
  <c r="E179" i="2"/>
  <c r="F179" i="2"/>
  <c r="G179" i="2"/>
  <c r="H179" i="2"/>
  <c r="E180" i="2"/>
  <c r="F180" i="2"/>
  <c r="G180" i="2"/>
  <c r="H180" i="2"/>
  <c r="E181" i="2"/>
  <c r="F181" i="2"/>
  <c r="G181" i="2"/>
  <c r="H181" i="2"/>
  <c r="E182" i="2"/>
  <c r="F182" i="2"/>
  <c r="G182" i="2"/>
  <c r="H182" i="2"/>
  <c r="E183" i="2"/>
  <c r="F183" i="2"/>
  <c r="G183" i="2"/>
  <c r="H183" i="2"/>
  <c r="E184" i="2"/>
  <c r="F184" i="2"/>
  <c r="G184" i="2"/>
  <c r="H184" i="2"/>
  <c r="E185" i="2"/>
  <c r="F185" i="2"/>
  <c r="G185" i="2"/>
  <c r="H185" i="2"/>
  <c r="E186" i="2"/>
  <c r="F186" i="2"/>
  <c r="G186" i="2"/>
  <c r="H186" i="2"/>
  <c r="E187" i="2"/>
  <c r="F187" i="2"/>
  <c r="G187" i="2"/>
  <c r="H187" i="2"/>
  <c r="E188" i="2"/>
  <c r="F188" i="2"/>
  <c r="G188" i="2"/>
  <c r="H188" i="2"/>
  <c r="E189" i="2"/>
  <c r="F189" i="2"/>
  <c r="G189" i="2"/>
  <c r="H189" i="2"/>
  <c r="E190" i="2"/>
  <c r="F190" i="2"/>
  <c r="G190" i="2"/>
  <c r="H190" i="2"/>
  <c r="E191" i="2"/>
  <c r="F191" i="2"/>
  <c r="G191" i="2"/>
  <c r="H191" i="2"/>
  <c r="E192" i="2"/>
  <c r="F192" i="2"/>
  <c r="G192" i="2"/>
  <c r="H192" i="2"/>
  <c r="E193" i="2"/>
  <c r="F193" i="2"/>
  <c r="G193" i="2"/>
  <c r="H193" i="2"/>
  <c r="E194" i="2"/>
  <c r="F194" i="2"/>
  <c r="G194" i="2"/>
  <c r="H194" i="2"/>
  <c r="E195" i="2"/>
  <c r="F195" i="2"/>
  <c r="G195" i="2"/>
  <c r="H195" i="2"/>
  <c r="E196" i="2"/>
  <c r="F196" i="2"/>
  <c r="G196" i="2"/>
  <c r="H196" i="2"/>
  <c r="E197" i="2"/>
  <c r="F197" i="2"/>
  <c r="G197" i="2"/>
  <c r="H197" i="2"/>
  <c r="E198" i="2"/>
  <c r="F198" i="2"/>
  <c r="G198" i="2"/>
  <c r="H198" i="2"/>
  <c r="E199" i="2"/>
  <c r="F199" i="2"/>
  <c r="G199" i="2"/>
  <c r="H199" i="2"/>
  <c r="E200" i="2"/>
  <c r="F200" i="2"/>
  <c r="G200" i="2"/>
  <c r="H200" i="2"/>
  <c r="E201" i="2"/>
  <c r="F201" i="2"/>
  <c r="G201" i="2"/>
  <c r="H201" i="2"/>
  <c r="E202" i="2"/>
  <c r="F202" i="2"/>
  <c r="G202" i="2"/>
  <c r="H202" i="2"/>
  <c r="E203" i="2"/>
  <c r="F203" i="2"/>
  <c r="G203" i="2"/>
  <c r="H203" i="2"/>
  <c r="E204" i="2"/>
  <c r="F204" i="2"/>
  <c r="G204" i="2"/>
  <c r="H204" i="2"/>
  <c r="E205" i="2"/>
  <c r="F205" i="2"/>
  <c r="G205" i="2"/>
  <c r="H205" i="2"/>
  <c r="E206" i="2"/>
  <c r="F206" i="2"/>
  <c r="G206" i="2"/>
  <c r="H206" i="2"/>
  <c r="E207" i="2"/>
  <c r="F207" i="2"/>
  <c r="G207" i="2"/>
  <c r="H207" i="2"/>
  <c r="E208" i="2"/>
  <c r="F208" i="2"/>
  <c r="G208" i="2"/>
  <c r="H208" i="2"/>
  <c r="E209" i="2"/>
  <c r="F209" i="2"/>
  <c r="G209" i="2"/>
  <c r="H209" i="2"/>
  <c r="E210" i="2"/>
  <c r="F210" i="2"/>
  <c r="G210" i="2"/>
  <c r="H210" i="2"/>
  <c r="E211" i="2"/>
  <c r="F211" i="2"/>
  <c r="G211" i="2"/>
  <c r="H211" i="2"/>
  <c r="E212" i="2"/>
  <c r="F212" i="2"/>
  <c r="G212" i="2"/>
  <c r="H212" i="2"/>
  <c r="E213" i="2"/>
  <c r="F213" i="2"/>
  <c r="G213" i="2"/>
  <c r="H213" i="2"/>
  <c r="E214" i="2"/>
  <c r="F214" i="2"/>
  <c r="G214" i="2"/>
  <c r="H214" i="2"/>
  <c r="E215" i="2"/>
  <c r="F215" i="2"/>
  <c r="G215" i="2"/>
  <c r="H215" i="2"/>
  <c r="E216" i="2"/>
  <c r="F216" i="2"/>
  <c r="G216" i="2"/>
  <c r="H216" i="2"/>
  <c r="E217" i="2"/>
  <c r="F217" i="2"/>
  <c r="G217" i="2"/>
  <c r="H217" i="2"/>
  <c r="E218" i="2"/>
  <c r="F218" i="2"/>
  <c r="G218" i="2"/>
  <c r="H218" i="2"/>
  <c r="E219" i="2"/>
  <c r="F219" i="2"/>
  <c r="G219" i="2"/>
  <c r="H219" i="2"/>
  <c r="E220" i="2"/>
  <c r="F220" i="2"/>
  <c r="G220" i="2"/>
  <c r="H220" i="2"/>
  <c r="E221" i="2"/>
  <c r="F221" i="2"/>
  <c r="G221" i="2"/>
  <c r="H221" i="2"/>
  <c r="E222" i="2"/>
  <c r="F222" i="2"/>
  <c r="G222" i="2"/>
  <c r="H222" i="2"/>
  <c r="E223" i="2"/>
  <c r="F223" i="2"/>
  <c r="G223" i="2"/>
  <c r="H223" i="2"/>
  <c r="E224" i="2"/>
  <c r="F224" i="2"/>
  <c r="G224" i="2"/>
  <c r="H224" i="2"/>
  <c r="E225" i="2"/>
  <c r="F225" i="2"/>
  <c r="G225" i="2"/>
  <c r="H225" i="2"/>
  <c r="E226" i="2"/>
  <c r="F226" i="2"/>
  <c r="G226" i="2"/>
  <c r="H226" i="2"/>
  <c r="E227" i="2"/>
  <c r="F227" i="2"/>
  <c r="G227" i="2"/>
  <c r="H227" i="2"/>
  <c r="E228" i="2"/>
  <c r="F228" i="2"/>
  <c r="G228" i="2"/>
  <c r="H228" i="2"/>
  <c r="E229" i="2"/>
  <c r="F229" i="2"/>
  <c r="G229" i="2"/>
  <c r="H229" i="2"/>
  <c r="E230" i="2"/>
  <c r="F230" i="2"/>
  <c r="G230" i="2"/>
  <c r="H230" i="2"/>
  <c r="E231" i="2"/>
  <c r="F231" i="2"/>
  <c r="G231" i="2"/>
  <c r="H231" i="2"/>
  <c r="E232" i="2"/>
  <c r="F232" i="2"/>
  <c r="G232" i="2"/>
  <c r="H232" i="2"/>
  <c r="E233" i="2"/>
  <c r="F233" i="2"/>
  <c r="G233" i="2"/>
  <c r="H233" i="2"/>
  <c r="E234" i="2"/>
  <c r="F234" i="2"/>
  <c r="G234" i="2"/>
  <c r="H234" i="2"/>
  <c r="E235" i="2"/>
  <c r="F235" i="2"/>
  <c r="G235" i="2"/>
  <c r="H235" i="2"/>
  <c r="E236" i="2"/>
  <c r="F236" i="2"/>
  <c r="G236" i="2"/>
  <c r="H236" i="2"/>
  <c r="E237" i="2"/>
  <c r="F237" i="2"/>
  <c r="G237" i="2"/>
  <c r="H237" i="2"/>
  <c r="E238" i="2"/>
  <c r="F238" i="2"/>
  <c r="G238" i="2"/>
  <c r="H238" i="2"/>
  <c r="E239" i="2"/>
  <c r="F239" i="2"/>
  <c r="G239" i="2"/>
  <c r="H239" i="2"/>
  <c r="E240" i="2"/>
  <c r="F240" i="2"/>
  <c r="G240" i="2"/>
  <c r="H240" i="2"/>
  <c r="E241" i="2"/>
  <c r="F241" i="2"/>
  <c r="G241" i="2"/>
  <c r="H241" i="2"/>
  <c r="E242" i="2"/>
  <c r="F242" i="2"/>
  <c r="G242" i="2"/>
  <c r="H242" i="2"/>
  <c r="E243" i="2"/>
  <c r="F243" i="2"/>
  <c r="G243" i="2"/>
  <c r="H243" i="2"/>
  <c r="E244" i="2"/>
  <c r="F244" i="2"/>
  <c r="G244" i="2"/>
  <c r="H244" i="2"/>
  <c r="E245" i="2"/>
  <c r="F245" i="2"/>
  <c r="G245" i="2"/>
  <c r="H245" i="2"/>
  <c r="E246" i="2"/>
  <c r="F246" i="2"/>
  <c r="G246" i="2"/>
  <c r="H246" i="2"/>
  <c r="E247" i="2"/>
  <c r="F247" i="2"/>
  <c r="G247" i="2"/>
  <c r="H247" i="2"/>
  <c r="E248" i="2"/>
  <c r="F248" i="2"/>
  <c r="G248" i="2"/>
  <c r="H248" i="2"/>
  <c r="E249" i="2"/>
  <c r="F249" i="2"/>
  <c r="G249" i="2"/>
  <c r="H249" i="2"/>
  <c r="E250" i="2"/>
  <c r="F250" i="2"/>
  <c r="G250" i="2"/>
  <c r="H250" i="2"/>
  <c r="E251" i="2"/>
  <c r="F251" i="2"/>
  <c r="G251" i="2"/>
  <c r="H251" i="2"/>
  <c r="E252" i="2"/>
  <c r="F252" i="2"/>
  <c r="G252" i="2"/>
  <c r="H252" i="2"/>
  <c r="E253" i="2"/>
  <c r="F253" i="2"/>
  <c r="G253" i="2"/>
  <c r="H253" i="2"/>
  <c r="E254" i="2"/>
  <c r="F254" i="2"/>
  <c r="G254" i="2"/>
  <c r="H254" i="2"/>
  <c r="E255" i="2"/>
  <c r="F255" i="2"/>
  <c r="G255" i="2"/>
  <c r="H255" i="2"/>
  <c r="E256" i="2"/>
  <c r="F256" i="2"/>
  <c r="G256" i="2"/>
  <c r="H256" i="2"/>
  <c r="E257" i="2"/>
  <c r="F257" i="2"/>
  <c r="G257" i="2"/>
  <c r="H257" i="2"/>
  <c r="E258" i="2"/>
  <c r="F258" i="2"/>
  <c r="G258" i="2"/>
  <c r="H258" i="2"/>
  <c r="E259" i="2"/>
  <c r="F259" i="2"/>
  <c r="G259" i="2"/>
  <c r="H259" i="2"/>
  <c r="E260" i="2"/>
  <c r="F260" i="2"/>
  <c r="G260" i="2"/>
  <c r="H260" i="2"/>
  <c r="E261" i="2"/>
  <c r="F261" i="2"/>
  <c r="G261" i="2"/>
  <c r="H261" i="2"/>
  <c r="E262" i="2"/>
  <c r="F262" i="2"/>
  <c r="G262" i="2"/>
  <c r="H262" i="2"/>
  <c r="E263" i="2"/>
  <c r="F263" i="2"/>
  <c r="G263" i="2"/>
  <c r="H263" i="2"/>
  <c r="E264" i="2"/>
  <c r="F264" i="2"/>
  <c r="G264" i="2"/>
  <c r="H264" i="2"/>
  <c r="E265" i="2"/>
  <c r="F265" i="2"/>
  <c r="G265" i="2"/>
  <c r="H265" i="2"/>
  <c r="E266" i="2"/>
  <c r="F266" i="2"/>
  <c r="G266" i="2"/>
  <c r="H266" i="2"/>
  <c r="E267" i="2"/>
  <c r="F267" i="2"/>
  <c r="G267" i="2"/>
  <c r="H267" i="2"/>
  <c r="E268" i="2"/>
  <c r="F268" i="2"/>
  <c r="G268" i="2"/>
  <c r="H268" i="2"/>
  <c r="E269" i="2"/>
  <c r="F269" i="2"/>
  <c r="G269" i="2"/>
  <c r="H269" i="2"/>
  <c r="E270" i="2"/>
  <c r="F270" i="2"/>
  <c r="G270" i="2"/>
  <c r="H270" i="2"/>
  <c r="E271" i="2"/>
  <c r="F271" i="2"/>
  <c r="G271" i="2"/>
  <c r="H271" i="2"/>
  <c r="E272" i="2"/>
  <c r="F272" i="2"/>
  <c r="G272" i="2"/>
  <c r="H272" i="2"/>
  <c r="E273" i="2"/>
  <c r="F273" i="2"/>
  <c r="G273" i="2"/>
  <c r="H273" i="2"/>
  <c r="E274" i="2"/>
  <c r="F274" i="2"/>
  <c r="G274" i="2"/>
  <c r="H274" i="2"/>
  <c r="E275" i="2"/>
  <c r="F275" i="2"/>
  <c r="G275" i="2"/>
  <c r="H275" i="2"/>
  <c r="E276" i="2"/>
  <c r="F276" i="2"/>
  <c r="G276" i="2"/>
  <c r="H276" i="2"/>
  <c r="E277" i="2"/>
  <c r="F277" i="2"/>
  <c r="G277" i="2"/>
  <c r="H277" i="2"/>
  <c r="E278" i="2"/>
  <c r="F278" i="2"/>
  <c r="G278" i="2"/>
  <c r="H278" i="2"/>
  <c r="E279" i="2"/>
  <c r="F279" i="2"/>
  <c r="G279" i="2"/>
  <c r="H279" i="2"/>
  <c r="E280" i="2"/>
  <c r="F280" i="2"/>
  <c r="G280" i="2"/>
  <c r="H280" i="2"/>
  <c r="E281" i="2"/>
  <c r="F281" i="2"/>
  <c r="G281" i="2"/>
  <c r="H281" i="2"/>
  <c r="E282" i="2"/>
  <c r="F282" i="2"/>
  <c r="G282" i="2"/>
  <c r="H282" i="2"/>
  <c r="E283" i="2"/>
  <c r="F283" i="2"/>
  <c r="G283" i="2"/>
  <c r="H283" i="2"/>
  <c r="E284" i="2"/>
  <c r="F284" i="2"/>
  <c r="G284" i="2"/>
  <c r="H284" i="2"/>
  <c r="E285" i="2"/>
  <c r="F285" i="2"/>
  <c r="G285" i="2"/>
  <c r="H285" i="2"/>
  <c r="E286" i="2"/>
  <c r="F286" i="2"/>
  <c r="G286" i="2"/>
  <c r="H286" i="2"/>
  <c r="E287" i="2"/>
  <c r="F287" i="2"/>
  <c r="G287" i="2"/>
  <c r="H287" i="2"/>
  <c r="E288" i="2"/>
  <c r="F288" i="2"/>
  <c r="G288" i="2"/>
  <c r="H288" i="2"/>
  <c r="E289" i="2"/>
  <c r="F289" i="2"/>
  <c r="G289" i="2"/>
  <c r="H289" i="2"/>
  <c r="E290" i="2"/>
  <c r="F290" i="2"/>
  <c r="G290" i="2"/>
  <c r="H290" i="2"/>
  <c r="E291" i="2"/>
  <c r="F291" i="2"/>
  <c r="G291" i="2"/>
  <c r="H291" i="2"/>
  <c r="E292" i="2"/>
  <c r="F292" i="2"/>
  <c r="G292" i="2"/>
  <c r="H292" i="2"/>
  <c r="E293" i="2"/>
  <c r="F293" i="2"/>
  <c r="G293" i="2"/>
  <c r="H293" i="2"/>
  <c r="E294" i="2"/>
  <c r="F294" i="2"/>
  <c r="G294" i="2"/>
  <c r="H294" i="2"/>
  <c r="E295" i="2"/>
  <c r="F295" i="2"/>
  <c r="G295" i="2"/>
  <c r="H295" i="2"/>
  <c r="E296" i="2"/>
  <c r="F296" i="2"/>
  <c r="G296" i="2"/>
  <c r="H296" i="2"/>
  <c r="E297" i="2"/>
  <c r="F297" i="2"/>
  <c r="G297" i="2"/>
  <c r="H297" i="2"/>
  <c r="E298" i="2"/>
  <c r="F298" i="2"/>
  <c r="G298" i="2"/>
  <c r="H298" i="2"/>
  <c r="E299" i="2"/>
  <c r="F299" i="2"/>
  <c r="G299" i="2"/>
  <c r="H299" i="2"/>
  <c r="E300" i="2"/>
  <c r="F300" i="2"/>
  <c r="G300" i="2"/>
  <c r="H300" i="2"/>
  <c r="E301" i="2"/>
  <c r="F301" i="2"/>
  <c r="G301" i="2"/>
  <c r="H301" i="2"/>
  <c r="E302" i="2"/>
  <c r="F302" i="2"/>
  <c r="G302" i="2"/>
  <c r="H302" i="2"/>
  <c r="E303" i="2"/>
  <c r="F303" i="2"/>
  <c r="G303" i="2"/>
  <c r="H303" i="2"/>
  <c r="E304" i="2"/>
  <c r="F304" i="2"/>
  <c r="G304" i="2"/>
  <c r="H304" i="2"/>
  <c r="E305" i="2"/>
  <c r="F305" i="2"/>
  <c r="G305" i="2"/>
  <c r="H305" i="2"/>
  <c r="E306" i="2"/>
  <c r="F306" i="2"/>
  <c r="G306" i="2"/>
  <c r="H306" i="2"/>
  <c r="E307" i="2"/>
  <c r="F307" i="2"/>
  <c r="G307" i="2"/>
  <c r="H307" i="2"/>
  <c r="E308" i="2"/>
  <c r="F308" i="2"/>
  <c r="G308" i="2"/>
  <c r="H308" i="2"/>
  <c r="E309" i="2"/>
  <c r="F309" i="2"/>
  <c r="G309" i="2"/>
  <c r="H309" i="2"/>
  <c r="E310" i="2"/>
  <c r="F310" i="2"/>
  <c r="G310" i="2"/>
  <c r="H310" i="2"/>
  <c r="E311" i="2"/>
  <c r="F311" i="2"/>
  <c r="G311" i="2"/>
  <c r="H311" i="2"/>
  <c r="E312" i="2"/>
  <c r="F312" i="2"/>
  <c r="G312" i="2"/>
  <c r="H312" i="2"/>
  <c r="E313" i="2"/>
  <c r="F313" i="2"/>
  <c r="G313" i="2"/>
  <c r="H313" i="2"/>
  <c r="E314" i="2"/>
  <c r="F314" i="2"/>
  <c r="G314" i="2"/>
  <c r="H314" i="2"/>
  <c r="E315" i="2"/>
  <c r="F315" i="2"/>
  <c r="G315" i="2"/>
  <c r="H315" i="2"/>
  <c r="E316" i="2"/>
  <c r="F316" i="2"/>
  <c r="G316" i="2"/>
  <c r="H316" i="2"/>
  <c r="E317" i="2"/>
  <c r="F317" i="2"/>
  <c r="G317" i="2"/>
  <c r="H317" i="2"/>
  <c r="E318" i="2"/>
  <c r="F318" i="2"/>
  <c r="G318" i="2"/>
  <c r="H318" i="2"/>
  <c r="E319" i="2"/>
  <c r="F319" i="2"/>
  <c r="G319" i="2"/>
  <c r="H319" i="2"/>
  <c r="E320" i="2"/>
  <c r="F320" i="2"/>
  <c r="G320" i="2"/>
  <c r="H320" i="2"/>
  <c r="E321" i="2"/>
  <c r="F321" i="2"/>
  <c r="G321" i="2"/>
  <c r="H321" i="2"/>
  <c r="E322" i="2"/>
  <c r="F322" i="2"/>
  <c r="G322" i="2"/>
  <c r="H322" i="2"/>
  <c r="E323" i="2"/>
  <c r="F323" i="2"/>
  <c r="G323" i="2"/>
  <c r="H323" i="2"/>
  <c r="E324" i="2"/>
  <c r="F324" i="2"/>
  <c r="G324" i="2"/>
  <c r="H324" i="2"/>
  <c r="E325" i="2"/>
  <c r="F325" i="2"/>
  <c r="G325" i="2"/>
  <c r="H325" i="2"/>
  <c r="E326" i="2"/>
  <c r="F326" i="2"/>
  <c r="G326" i="2"/>
  <c r="H326" i="2"/>
  <c r="E327" i="2"/>
  <c r="F327" i="2"/>
  <c r="G327" i="2"/>
  <c r="H327" i="2"/>
  <c r="E328" i="2"/>
  <c r="F328" i="2"/>
  <c r="G328" i="2"/>
  <c r="H328" i="2"/>
  <c r="E329" i="2"/>
  <c r="F329" i="2"/>
  <c r="G329" i="2"/>
  <c r="H329" i="2"/>
  <c r="E330" i="2"/>
  <c r="F330" i="2"/>
  <c r="G330" i="2"/>
  <c r="H330" i="2"/>
  <c r="E331" i="2"/>
  <c r="F331" i="2"/>
  <c r="G331" i="2"/>
  <c r="H331" i="2"/>
  <c r="E332" i="2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H2" i="2"/>
  <c r="G2" i="2"/>
  <c r="F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" i="2"/>
  <c r="G21" i="1"/>
  <c r="G24" i="1"/>
  <c r="G34" i="1"/>
  <c r="G42" i="1"/>
  <c r="G43" i="1"/>
  <c r="G48" i="1"/>
  <c r="G66" i="1"/>
  <c r="G70" i="1"/>
  <c r="G71" i="1"/>
  <c r="G94" i="1"/>
  <c r="G98" i="1"/>
  <c r="G106" i="1"/>
  <c r="G117" i="1"/>
  <c r="G130" i="1"/>
  <c r="G139" i="1"/>
  <c r="G143" i="1"/>
  <c r="G146" i="1"/>
  <c r="G158" i="1"/>
  <c r="G176" i="1"/>
  <c r="G179" i="1"/>
  <c r="G192" i="1"/>
  <c r="G208" i="1"/>
  <c r="G222" i="1"/>
  <c r="G223" i="1"/>
  <c r="G235" i="1"/>
  <c r="G238" i="1"/>
  <c r="G253" i="1"/>
  <c r="G267" i="1"/>
  <c r="G280" i="1"/>
  <c r="G296" i="1"/>
  <c r="G309" i="1"/>
  <c r="G311" i="1"/>
  <c r="G323" i="1"/>
  <c r="G326" i="1"/>
  <c r="G341" i="1"/>
  <c r="F8" i="1"/>
  <c r="F9" i="1"/>
  <c r="F13" i="1"/>
  <c r="F18" i="1"/>
  <c r="F22" i="1"/>
  <c r="F24" i="1"/>
  <c r="F26" i="1"/>
  <c r="F27" i="1"/>
  <c r="F37" i="1"/>
  <c r="F39" i="1"/>
  <c r="F42" i="1"/>
  <c r="F51" i="1"/>
  <c r="F54" i="1"/>
  <c r="F58" i="1"/>
  <c r="F66" i="1"/>
  <c r="F67" i="1"/>
  <c r="F72" i="1"/>
  <c r="F82" i="1"/>
  <c r="F90" i="1"/>
  <c r="F95" i="1"/>
  <c r="F97" i="1"/>
  <c r="F101" i="1"/>
  <c r="F106" i="1"/>
  <c r="F110" i="1"/>
  <c r="F112" i="1"/>
  <c r="F115" i="1"/>
  <c r="F122" i="1"/>
  <c r="F125" i="1"/>
  <c r="F127" i="1"/>
  <c r="F130" i="1"/>
  <c r="F139" i="1"/>
  <c r="F141" i="1"/>
  <c r="F146" i="1"/>
  <c r="F154" i="1"/>
  <c r="F155" i="1"/>
  <c r="F168" i="1"/>
  <c r="F183" i="1"/>
  <c r="F185" i="1"/>
  <c r="F189" i="1"/>
  <c r="F198" i="1"/>
  <c r="F200" i="1"/>
  <c r="F211" i="1"/>
  <c r="F222" i="1"/>
  <c r="F223" i="1"/>
  <c r="F227" i="1"/>
  <c r="F237" i="1"/>
  <c r="F247" i="1"/>
  <c r="F248" i="1"/>
  <c r="F259" i="1"/>
  <c r="F264" i="1"/>
  <c r="F271" i="1"/>
  <c r="F273" i="1"/>
  <c r="F275" i="1"/>
  <c r="F283" i="1"/>
  <c r="F285" i="1"/>
  <c r="F295" i="1"/>
  <c r="F296" i="1"/>
  <c r="F307" i="1"/>
  <c r="F310" i="1"/>
  <c r="F312" i="1"/>
  <c r="F320" i="1"/>
  <c r="F321" i="1"/>
  <c r="F323" i="1"/>
  <c r="F331" i="1"/>
  <c r="F341" i="1"/>
  <c r="F343" i="1"/>
  <c r="F352" i="1"/>
  <c r="F353" i="1"/>
  <c r="F355" i="1"/>
  <c r="G2" i="1"/>
  <c r="E3" i="1"/>
  <c r="G3" i="1" s="1"/>
  <c r="E4" i="1"/>
  <c r="E5" i="1"/>
  <c r="E6" i="1"/>
  <c r="G6" i="1" s="1"/>
  <c r="E7" i="1"/>
  <c r="F7" i="1" s="1"/>
  <c r="E8" i="1"/>
  <c r="G8" i="1" s="1"/>
  <c r="E9" i="1"/>
  <c r="G9" i="1" s="1"/>
  <c r="E10" i="1"/>
  <c r="F10" i="1" s="1"/>
  <c r="E11" i="1"/>
  <c r="G11" i="1" s="1"/>
  <c r="E12" i="1"/>
  <c r="E13" i="1"/>
  <c r="G13" i="1" s="1"/>
  <c r="E14" i="1"/>
  <c r="E15" i="1"/>
  <c r="F15" i="1" s="1"/>
  <c r="E16" i="1"/>
  <c r="F16" i="1" s="1"/>
  <c r="E17" i="1"/>
  <c r="G17" i="1" s="1"/>
  <c r="E18" i="1"/>
  <c r="G18" i="1" s="1"/>
  <c r="E19" i="1"/>
  <c r="E20" i="1"/>
  <c r="E21" i="1"/>
  <c r="F21" i="1" s="1"/>
  <c r="E22" i="1"/>
  <c r="G22" i="1" s="1"/>
  <c r="E23" i="1"/>
  <c r="E24" i="1"/>
  <c r="E25" i="1"/>
  <c r="F25" i="1" s="1"/>
  <c r="E26" i="1"/>
  <c r="G26" i="1" s="1"/>
  <c r="E27" i="1"/>
  <c r="G27" i="1" s="1"/>
  <c r="E28" i="1"/>
  <c r="E29" i="1"/>
  <c r="E30" i="1"/>
  <c r="G30" i="1" s="1"/>
  <c r="E31" i="1"/>
  <c r="G31" i="1" s="1"/>
  <c r="E32" i="1"/>
  <c r="E33" i="1"/>
  <c r="G33" i="1" s="1"/>
  <c r="E34" i="1"/>
  <c r="F34" i="1" s="1"/>
  <c r="E35" i="1"/>
  <c r="G35" i="1" s="1"/>
  <c r="E36" i="1"/>
  <c r="E37" i="1"/>
  <c r="G37" i="1" s="1"/>
  <c r="E38" i="1"/>
  <c r="E39" i="1"/>
  <c r="G39" i="1" s="1"/>
  <c r="E40" i="1"/>
  <c r="G40" i="1" s="1"/>
  <c r="E41" i="1"/>
  <c r="E42" i="1"/>
  <c r="E43" i="1"/>
  <c r="F43" i="1" s="1"/>
  <c r="E44" i="1"/>
  <c r="E45" i="1"/>
  <c r="G45" i="1" s="1"/>
  <c r="E46" i="1"/>
  <c r="G46" i="1" s="1"/>
  <c r="E47" i="1"/>
  <c r="E48" i="1"/>
  <c r="F48" i="1" s="1"/>
  <c r="E49" i="1"/>
  <c r="G49" i="1" s="1"/>
  <c r="E50" i="1"/>
  <c r="G50" i="1" s="1"/>
  <c r="E51" i="1"/>
  <c r="G51" i="1" s="1"/>
  <c r="E52" i="1"/>
  <c r="E53" i="1"/>
  <c r="F53" i="1" s="1"/>
  <c r="E54" i="1"/>
  <c r="G54" i="1" s="1"/>
  <c r="E55" i="1"/>
  <c r="G55" i="1" s="1"/>
  <c r="E56" i="1"/>
  <c r="E57" i="1"/>
  <c r="F57" i="1" s="1"/>
  <c r="E58" i="1"/>
  <c r="G58" i="1" s="1"/>
  <c r="E59" i="1"/>
  <c r="E60" i="1"/>
  <c r="E61" i="1"/>
  <c r="G61" i="1" s="1"/>
  <c r="E62" i="1"/>
  <c r="F62" i="1" s="1"/>
  <c r="E63" i="1"/>
  <c r="G63" i="1" s="1"/>
  <c r="E64" i="1"/>
  <c r="G64" i="1" s="1"/>
  <c r="E65" i="1"/>
  <c r="E66" i="1"/>
  <c r="E67" i="1"/>
  <c r="G67" i="1" s="1"/>
  <c r="E68" i="1"/>
  <c r="E69" i="1"/>
  <c r="E70" i="1"/>
  <c r="F70" i="1" s="1"/>
  <c r="E71" i="1"/>
  <c r="F71" i="1" s="1"/>
  <c r="E72" i="1"/>
  <c r="G72" i="1" s="1"/>
  <c r="E73" i="1"/>
  <c r="G73" i="1" s="1"/>
  <c r="E74" i="1"/>
  <c r="F74" i="1" s="1"/>
  <c r="E75" i="1"/>
  <c r="F75" i="1" s="1"/>
  <c r="E76" i="1"/>
  <c r="E77" i="1"/>
  <c r="G77" i="1" s="1"/>
  <c r="E78" i="1"/>
  <c r="E79" i="1"/>
  <c r="G79" i="1" s="1"/>
  <c r="E80" i="1"/>
  <c r="F80" i="1" s="1"/>
  <c r="E81" i="1"/>
  <c r="G81" i="1" s="1"/>
  <c r="E82" i="1"/>
  <c r="G82" i="1" s="1"/>
  <c r="E83" i="1"/>
  <c r="E84" i="1"/>
  <c r="E85" i="1"/>
  <c r="G85" i="1" s="1"/>
  <c r="E86" i="1"/>
  <c r="G86" i="1" s="1"/>
  <c r="E87" i="1"/>
  <c r="E88" i="1"/>
  <c r="F88" i="1" s="1"/>
  <c r="E89" i="1"/>
  <c r="F89" i="1" s="1"/>
  <c r="E90" i="1"/>
  <c r="G90" i="1" s="1"/>
  <c r="E91" i="1"/>
  <c r="G91" i="1" s="1"/>
  <c r="E92" i="1"/>
  <c r="E93" i="1"/>
  <c r="E94" i="1"/>
  <c r="F94" i="1" s="1"/>
  <c r="E95" i="1"/>
  <c r="G95" i="1" s="1"/>
  <c r="E96" i="1"/>
  <c r="E97" i="1"/>
  <c r="G97" i="1" s="1"/>
  <c r="E98" i="1"/>
  <c r="F98" i="1" s="1"/>
  <c r="E99" i="1"/>
  <c r="G99" i="1" s="1"/>
  <c r="E100" i="1"/>
  <c r="E101" i="1"/>
  <c r="G101" i="1" s="1"/>
  <c r="E102" i="1"/>
  <c r="E103" i="1"/>
  <c r="G103" i="1" s="1"/>
  <c r="E104" i="1"/>
  <c r="G104" i="1" s="1"/>
  <c r="E105" i="1"/>
  <c r="E106" i="1"/>
  <c r="E107" i="1"/>
  <c r="F107" i="1" s="1"/>
  <c r="E108" i="1"/>
  <c r="E109" i="1"/>
  <c r="G109" i="1" s="1"/>
  <c r="E110" i="1"/>
  <c r="G110" i="1" s="1"/>
  <c r="E111" i="1"/>
  <c r="E112" i="1"/>
  <c r="G112" i="1" s="1"/>
  <c r="E113" i="1"/>
  <c r="G113" i="1" s="1"/>
  <c r="E114" i="1"/>
  <c r="G114" i="1" s="1"/>
  <c r="E115" i="1"/>
  <c r="G115" i="1" s="1"/>
  <c r="E116" i="1"/>
  <c r="E117" i="1"/>
  <c r="F117" i="1" s="1"/>
  <c r="E118" i="1"/>
  <c r="G118" i="1" s="1"/>
  <c r="E119" i="1"/>
  <c r="G119" i="1" s="1"/>
  <c r="E120" i="1"/>
  <c r="E121" i="1"/>
  <c r="F121" i="1" s="1"/>
  <c r="E122" i="1"/>
  <c r="G122" i="1" s="1"/>
  <c r="E123" i="1"/>
  <c r="E124" i="1"/>
  <c r="E125" i="1"/>
  <c r="G125" i="1" s="1"/>
  <c r="E126" i="1"/>
  <c r="F126" i="1" s="1"/>
  <c r="E127" i="1"/>
  <c r="G127" i="1" s="1"/>
  <c r="E128" i="1"/>
  <c r="G128" i="1" s="1"/>
  <c r="E129" i="1"/>
  <c r="E130" i="1"/>
  <c r="E131" i="1"/>
  <c r="G131" i="1" s="1"/>
  <c r="E132" i="1"/>
  <c r="E133" i="1"/>
  <c r="E134" i="1"/>
  <c r="G134" i="1" s="1"/>
  <c r="E135" i="1"/>
  <c r="F135" i="1" s="1"/>
  <c r="E136" i="1"/>
  <c r="G136" i="1" s="1"/>
  <c r="E137" i="1"/>
  <c r="G137" i="1" s="1"/>
  <c r="E138" i="1"/>
  <c r="F138" i="1" s="1"/>
  <c r="E139" i="1"/>
  <c r="E140" i="1"/>
  <c r="E141" i="1"/>
  <c r="G141" i="1" s="1"/>
  <c r="E142" i="1"/>
  <c r="E143" i="1"/>
  <c r="F143" i="1" s="1"/>
  <c r="E144" i="1"/>
  <c r="F144" i="1" s="1"/>
  <c r="E145" i="1"/>
  <c r="G145" i="1" s="1"/>
  <c r="E146" i="1"/>
  <c r="E147" i="1"/>
  <c r="E148" i="1"/>
  <c r="E149" i="1"/>
  <c r="G149" i="1" s="1"/>
  <c r="E150" i="1"/>
  <c r="G150" i="1" s="1"/>
  <c r="E151" i="1"/>
  <c r="E152" i="1"/>
  <c r="G152" i="1" s="1"/>
  <c r="E153" i="1"/>
  <c r="F153" i="1" s="1"/>
  <c r="E154" i="1"/>
  <c r="G154" i="1" s="1"/>
  <c r="E155" i="1"/>
  <c r="G155" i="1" s="1"/>
  <c r="E156" i="1"/>
  <c r="E157" i="1"/>
  <c r="E158" i="1"/>
  <c r="F158" i="1" s="1"/>
  <c r="E159" i="1"/>
  <c r="G159" i="1" s="1"/>
  <c r="E160" i="1"/>
  <c r="E161" i="1"/>
  <c r="F161" i="1" s="1"/>
  <c r="E162" i="1"/>
  <c r="F162" i="1" s="1"/>
  <c r="E163" i="1"/>
  <c r="G163" i="1" s="1"/>
  <c r="E164" i="1"/>
  <c r="E165" i="1"/>
  <c r="G165" i="1" s="1"/>
  <c r="E166" i="1"/>
  <c r="E167" i="1"/>
  <c r="G167" i="1" s="1"/>
  <c r="E168" i="1"/>
  <c r="G168" i="1" s="1"/>
  <c r="E169" i="1"/>
  <c r="E170" i="1"/>
  <c r="G170" i="1" s="1"/>
  <c r="E171" i="1"/>
  <c r="F171" i="1" s="1"/>
  <c r="E172" i="1"/>
  <c r="E173" i="1"/>
  <c r="G173" i="1" s="1"/>
  <c r="E174" i="1"/>
  <c r="F174" i="1" s="1"/>
  <c r="E175" i="1"/>
  <c r="E176" i="1"/>
  <c r="F176" i="1" s="1"/>
  <c r="E177" i="1"/>
  <c r="G177" i="1" s="1"/>
  <c r="E178" i="1"/>
  <c r="E179" i="1"/>
  <c r="F179" i="1" s="1"/>
  <c r="E180" i="1"/>
  <c r="E181" i="1"/>
  <c r="F181" i="1" s="1"/>
  <c r="E182" i="1"/>
  <c r="G182" i="1" s="1"/>
  <c r="E183" i="1"/>
  <c r="G183" i="1" s="1"/>
  <c r="E184" i="1"/>
  <c r="E185" i="1"/>
  <c r="G185" i="1" s="1"/>
  <c r="E186" i="1"/>
  <c r="G186" i="1" s="1"/>
  <c r="E187" i="1"/>
  <c r="E188" i="1"/>
  <c r="E189" i="1"/>
  <c r="G189" i="1" s="1"/>
  <c r="E190" i="1"/>
  <c r="F190" i="1" s="1"/>
  <c r="E191" i="1"/>
  <c r="G191" i="1" s="1"/>
  <c r="E192" i="1"/>
  <c r="F192" i="1" s="1"/>
  <c r="E193" i="1"/>
  <c r="E194" i="1"/>
  <c r="F194" i="1" s="1"/>
  <c r="E195" i="1"/>
  <c r="F195" i="1" s="1"/>
  <c r="E196" i="1"/>
  <c r="E197" i="1"/>
  <c r="E198" i="1"/>
  <c r="G198" i="1" s="1"/>
  <c r="E199" i="1"/>
  <c r="F199" i="1" s="1"/>
  <c r="E200" i="1"/>
  <c r="G200" i="1" s="1"/>
  <c r="E201" i="1"/>
  <c r="G201" i="1" s="1"/>
  <c r="E202" i="1"/>
  <c r="G202" i="1" s="1"/>
  <c r="E203" i="1"/>
  <c r="F203" i="1" s="1"/>
  <c r="E204" i="1"/>
  <c r="E205" i="1"/>
  <c r="F205" i="1" s="1"/>
  <c r="E206" i="1"/>
  <c r="E207" i="1"/>
  <c r="F207" i="1" s="1"/>
  <c r="E208" i="1"/>
  <c r="F208" i="1" s="1"/>
  <c r="E209" i="1"/>
  <c r="G209" i="1" s="1"/>
  <c r="E210" i="1"/>
  <c r="F210" i="1" s="1"/>
  <c r="E211" i="1"/>
  <c r="G211" i="1" s="1"/>
  <c r="E212" i="1"/>
  <c r="E213" i="1"/>
  <c r="G213" i="1" s="1"/>
  <c r="E214" i="1"/>
  <c r="F214" i="1" s="1"/>
  <c r="E215" i="1"/>
  <c r="E216" i="1"/>
  <c r="F216" i="1" s="1"/>
  <c r="E217" i="1"/>
  <c r="F217" i="1" s="1"/>
  <c r="E218" i="1"/>
  <c r="G218" i="1" s="1"/>
  <c r="E219" i="1"/>
  <c r="F219" i="1" s="1"/>
  <c r="E220" i="1"/>
  <c r="E221" i="1"/>
  <c r="G221" i="1" s="1"/>
  <c r="E222" i="1"/>
  <c r="E223" i="1"/>
  <c r="E224" i="1"/>
  <c r="E225" i="1"/>
  <c r="G225" i="1" s="1"/>
  <c r="E226" i="1"/>
  <c r="F226" i="1" s="1"/>
  <c r="E227" i="1"/>
  <c r="G227" i="1" s="1"/>
  <c r="E228" i="1"/>
  <c r="E229" i="1"/>
  <c r="G229" i="1" s="1"/>
  <c r="E230" i="1"/>
  <c r="G230" i="1" s="1"/>
  <c r="E231" i="1"/>
  <c r="G231" i="1" s="1"/>
  <c r="E232" i="1"/>
  <c r="G232" i="1" s="1"/>
  <c r="E233" i="1"/>
  <c r="E234" i="1"/>
  <c r="G234" i="1" s="1"/>
  <c r="E235" i="1"/>
  <c r="F235" i="1" s="1"/>
  <c r="E236" i="1"/>
  <c r="E237" i="1"/>
  <c r="G237" i="1" s="1"/>
  <c r="E238" i="1"/>
  <c r="F238" i="1" s="1"/>
  <c r="E239" i="1"/>
  <c r="G239" i="1" s="1"/>
  <c r="E240" i="1"/>
  <c r="F240" i="1" s="1"/>
  <c r="E241" i="1"/>
  <c r="G241" i="1" s="1"/>
  <c r="E242" i="1"/>
  <c r="E243" i="1"/>
  <c r="G243" i="1" s="1"/>
  <c r="E244" i="1"/>
  <c r="E245" i="1"/>
  <c r="F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E252" i="1"/>
  <c r="E253" i="1"/>
  <c r="F253" i="1" s="1"/>
  <c r="E254" i="1"/>
  <c r="F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E261" i="1"/>
  <c r="E262" i="1"/>
  <c r="G262" i="1" s="1"/>
  <c r="E263" i="1"/>
  <c r="F263" i="1" s="1"/>
  <c r="E264" i="1"/>
  <c r="G264" i="1" s="1"/>
  <c r="E265" i="1"/>
  <c r="F265" i="1" s="1"/>
  <c r="E266" i="1"/>
  <c r="G266" i="1" s="1"/>
  <c r="E267" i="1"/>
  <c r="F267" i="1" s="1"/>
  <c r="E268" i="1"/>
  <c r="E269" i="1"/>
  <c r="F269" i="1" s="1"/>
  <c r="E270" i="1"/>
  <c r="E271" i="1"/>
  <c r="G271" i="1" s="1"/>
  <c r="E272" i="1"/>
  <c r="F272" i="1" s="1"/>
  <c r="E273" i="1"/>
  <c r="G273" i="1" s="1"/>
  <c r="E274" i="1"/>
  <c r="G274" i="1" s="1"/>
  <c r="E275" i="1"/>
  <c r="G275" i="1" s="1"/>
  <c r="E276" i="1"/>
  <c r="E277" i="1"/>
  <c r="F277" i="1" s="1"/>
  <c r="E278" i="1"/>
  <c r="F278" i="1" s="1"/>
  <c r="E279" i="1"/>
  <c r="E280" i="1"/>
  <c r="F280" i="1" s="1"/>
  <c r="E281" i="1"/>
  <c r="F281" i="1" s="1"/>
  <c r="E282" i="1"/>
  <c r="G282" i="1" s="1"/>
  <c r="E283" i="1"/>
  <c r="G283" i="1" s="1"/>
  <c r="E284" i="1"/>
  <c r="E285" i="1"/>
  <c r="G285" i="1" s="1"/>
  <c r="E286" i="1"/>
  <c r="G286" i="1" s="1"/>
  <c r="E287" i="1"/>
  <c r="G287" i="1" s="1"/>
  <c r="E288" i="1"/>
  <c r="E289" i="1"/>
  <c r="F289" i="1" s="1"/>
  <c r="E290" i="1"/>
  <c r="F290" i="1" s="1"/>
  <c r="E291" i="1"/>
  <c r="G291" i="1" s="1"/>
  <c r="E292" i="1"/>
  <c r="E293" i="1"/>
  <c r="F293" i="1" s="1"/>
  <c r="E294" i="1"/>
  <c r="G294" i="1" s="1"/>
  <c r="E295" i="1"/>
  <c r="G295" i="1" s="1"/>
  <c r="E296" i="1"/>
  <c r="E297" i="1"/>
  <c r="E298" i="1"/>
  <c r="G298" i="1" s="1"/>
  <c r="E299" i="1"/>
  <c r="F299" i="1" s="1"/>
  <c r="E300" i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E307" i="1"/>
  <c r="G307" i="1" s="1"/>
  <c r="E308" i="1"/>
  <c r="E309" i="1"/>
  <c r="F309" i="1" s="1"/>
  <c r="E310" i="1"/>
  <c r="G310" i="1" s="1"/>
  <c r="E311" i="1"/>
  <c r="F311" i="1" s="1"/>
  <c r="E312" i="1"/>
  <c r="G312" i="1" s="1"/>
  <c r="E313" i="1"/>
  <c r="F313" i="1" s="1"/>
  <c r="E314" i="1"/>
  <c r="G314" i="1" s="1"/>
  <c r="E315" i="1"/>
  <c r="E316" i="1"/>
  <c r="E317" i="1"/>
  <c r="G317" i="1" s="1"/>
  <c r="E318" i="1"/>
  <c r="F318" i="1" s="1"/>
  <c r="E319" i="1"/>
  <c r="G319" i="1" s="1"/>
  <c r="E320" i="1"/>
  <c r="G320" i="1" s="1"/>
  <c r="E321" i="1"/>
  <c r="G321" i="1" s="1"/>
  <c r="E322" i="1"/>
  <c r="G322" i="1" s="1"/>
  <c r="E323" i="1"/>
  <c r="E324" i="1"/>
  <c r="E325" i="1"/>
  <c r="G325" i="1" s="1"/>
  <c r="E326" i="1"/>
  <c r="F326" i="1" s="1"/>
  <c r="E327" i="1"/>
  <c r="F327" i="1" s="1"/>
  <c r="E328" i="1"/>
  <c r="G328" i="1" s="1"/>
  <c r="E329" i="1"/>
  <c r="G329" i="1" s="1"/>
  <c r="E330" i="1"/>
  <c r="G330" i="1" s="1"/>
  <c r="E331" i="1"/>
  <c r="G331" i="1" s="1"/>
  <c r="E332" i="1"/>
  <c r="E333" i="1"/>
  <c r="G333" i="1" s="1"/>
  <c r="E334" i="1"/>
  <c r="E335" i="1"/>
  <c r="G335" i="1" s="1"/>
  <c r="E336" i="1"/>
  <c r="F336" i="1" s="1"/>
  <c r="E337" i="1"/>
  <c r="G337" i="1" s="1"/>
  <c r="E338" i="1"/>
  <c r="F338" i="1" s="1"/>
  <c r="E339" i="1"/>
  <c r="G339" i="1" s="1"/>
  <c r="E340" i="1"/>
  <c r="E341" i="1"/>
  <c r="E342" i="1"/>
  <c r="F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E349" i="1"/>
  <c r="G349" i="1" s="1"/>
  <c r="E350" i="1"/>
  <c r="F350" i="1" s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E357" i="1"/>
  <c r="F357" i="1" s="1"/>
  <c r="E358" i="1"/>
  <c r="E359" i="1"/>
  <c r="G359" i="1" s="1"/>
  <c r="E360" i="1"/>
  <c r="G360" i="1" s="1"/>
  <c r="E361" i="1"/>
  <c r="G361" i="1" s="1"/>
  <c r="E362" i="1"/>
  <c r="G362" i="1" s="1"/>
  <c r="E2" i="1"/>
  <c r="F2" i="1" s="1"/>
  <c r="G178" i="1" l="1"/>
  <c r="F178" i="1"/>
  <c r="G233" i="1"/>
  <c r="F233" i="1"/>
  <c r="G334" i="1"/>
  <c r="F334" i="1"/>
  <c r="G348" i="1"/>
  <c r="F348" i="1"/>
  <c r="G340" i="1"/>
  <c r="F340" i="1"/>
  <c r="G324" i="1"/>
  <c r="F324" i="1"/>
  <c r="G308" i="1"/>
  <c r="F308" i="1"/>
  <c r="G292" i="1"/>
  <c r="F292" i="1"/>
  <c r="G276" i="1"/>
  <c r="F276" i="1"/>
  <c r="G260" i="1"/>
  <c r="F260" i="1"/>
  <c r="G244" i="1"/>
  <c r="F244" i="1"/>
  <c r="G228" i="1"/>
  <c r="F228" i="1"/>
  <c r="G220" i="1"/>
  <c r="F220" i="1"/>
  <c r="G204" i="1"/>
  <c r="F204" i="1"/>
  <c r="G188" i="1"/>
  <c r="F188" i="1"/>
  <c r="G180" i="1"/>
  <c r="F180" i="1"/>
  <c r="G164" i="1"/>
  <c r="F164" i="1"/>
  <c r="G156" i="1"/>
  <c r="F156" i="1"/>
  <c r="G148" i="1"/>
  <c r="F148" i="1"/>
  <c r="F345" i="1"/>
  <c r="F335" i="1"/>
  <c r="F301" i="1"/>
  <c r="F287" i="1"/>
  <c r="F250" i="1"/>
  <c r="F239" i="1"/>
  <c r="G315" i="1"/>
  <c r="F315" i="1"/>
  <c r="G251" i="1"/>
  <c r="F251" i="1"/>
  <c r="G187" i="1"/>
  <c r="F187" i="1"/>
  <c r="F147" i="1"/>
  <c r="G147" i="1"/>
  <c r="G123" i="1"/>
  <c r="F123" i="1"/>
  <c r="F83" i="1"/>
  <c r="G83" i="1"/>
  <c r="G59" i="1"/>
  <c r="F59" i="1"/>
  <c r="F19" i="1"/>
  <c r="G19" i="1"/>
  <c r="F354" i="1"/>
  <c r="F344" i="1"/>
  <c r="F333" i="1"/>
  <c r="F322" i="1"/>
  <c r="F298" i="1"/>
  <c r="F286" i="1"/>
  <c r="F274" i="1"/>
  <c r="F262" i="1"/>
  <c r="F249" i="1"/>
  <c r="F225" i="1"/>
  <c r="F213" i="1"/>
  <c r="F201" i="1"/>
  <c r="F186" i="1"/>
  <c r="F173" i="1"/>
  <c r="F128" i="1"/>
  <c r="F113" i="1"/>
  <c r="F99" i="1"/>
  <c r="F85" i="1"/>
  <c r="F55" i="1"/>
  <c r="F40" i="1"/>
  <c r="F11" i="1"/>
  <c r="G357" i="1"/>
  <c r="G342" i="1"/>
  <c r="G327" i="1"/>
  <c r="G313" i="1"/>
  <c r="G269" i="1"/>
  <c r="G254" i="1"/>
  <c r="G240" i="1"/>
  <c r="G210" i="1"/>
  <c r="G195" i="1"/>
  <c r="G181" i="1"/>
  <c r="G162" i="1"/>
  <c r="G144" i="1"/>
  <c r="G75" i="1"/>
  <c r="G25" i="1"/>
  <c r="G281" i="1"/>
  <c r="G194" i="1"/>
  <c r="G161" i="1"/>
  <c r="G121" i="1"/>
  <c r="G306" i="1"/>
  <c r="F306" i="1"/>
  <c r="G242" i="1"/>
  <c r="F242" i="1"/>
  <c r="F81" i="1"/>
  <c r="G338" i="1"/>
  <c r="G265" i="1"/>
  <c r="F170" i="1"/>
  <c r="G297" i="1"/>
  <c r="F297" i="1"/>
  <c r="F330" i="1"/>
  <c r="F234" i="1"/>
  <c r="G207" i="1"/>
  <c r="G288" i="1"/>
  <c r="F288" i="1"/>
  <c r="G224" i="1"/>
  <c r="F224" i="1"/>
  <c r="F184" i="1"/>
  <c r="G184" i="1"/>
  <c r="G160" i="1"/>
  <c r="F160" i="1"/>
  <c r="F120" i="1"/>
  <c r="G120" i="1"/>
  <c r="G96" i="1"/>
  <c r="F96" i="1"/>
  <c r="F56" i="1"/>
  <c r="G56" i="1"/>
  <c r="G32" i="1"/>
  <c r="F32" i="1"/>
  <c r="F361" i="1"/>
  <c r="F351" i="1"/>
  <c r="F339" i="1"/>
  <c r="F329" i="1"/>
  <c r="F319" i="1"/>
  <c r="F305" i="1"/>
  <c r="F294" i="1"/>
  <c r="F282" i="1"/>
  <c r="F257" i="1"/>
  <c r="F246" i="1"/>
  <c r="F232" i="1"/>
  <c r="F221" i="1"/>
  <c r="F209" i="1"/>
  <c r="F182" i="1"/>
  <c r="F167" i="1"/>
  <c r="F152" i="1"/>
  <c r="F137" i="1"/>
  <c r="F109" i="1"/>
  <c r="F79" i="1"/>
  <c r="F64" i="1"/>
  <c r="F49" i="1"/>
  <c r="F35" i="1"/>
  <c r="F6" i="1"/>
  <c r="G336" i="1"/>
  <c r="G293" i="1"/>
  <c r="G278" i="1"/>
  <c r="G263" i="1"/>
  <c r="G219" i="1"/>
  <c r="G205" i="1"/>
  <c r="G190" i="1"/>
  <c r="G174" i="1"/>
  <c r="G89" i="1"/>
  <c r="G16" i="1"/>
  <c r="F65" i="1"/>
  <c r="G65" i="1"/>
  <c r="G41" i="1"/>
  <c r="F41" i="1"/>
  <c r="G279" i="1"/>
  <c r="F279" i="1"/>
  <c r="G215" i="1"/>
  <c r="F215" i="1"/>
  <c r="F175" i="1"/>
  <c r="G175" i="1"/>
  <c r="G151" i="1"/>
  <c r="F151" i="1"/>
  <c r="F111" i="1"/>
  <c r="G111" i="1"/>
  <c r="G87" i="1"/>
  <c r="F87" i="1"/>
  <c r="F47" i="1"/>
  <c r="G47" i="1"/>
  <c r="G23" i="1"/>
  <c r="F23" i="1"/>
  <c r="F360" i="1"/>
  <c r="F349" i="1"/>
  <c r="F328" i="1"/>
  <c r="F317" i="1"/>
  <c r="F304" i="1"/>
  <c r="F256" i="1"/>
  <c r="F243" i="1"/>
  <c r="F231" i="1"/>
  <c r="F165" i="1"/>
  <c r="F150" i="1"/>
  <c r="F136" i="1"/>
  <c r="F91" i="1"/>
  <c r="F77" i="1"/>
  <c r="F63" i="1"/>
  <c r="F33" i="1"/>
  <c r="F3" i="1"/>
  <c r="G350" i="1"/>
  <c r="G290" i="1"/>
  <c r="G277" i="1"/>
  <c r="G217" i="1"/>
  <c r="G203" i="1"/>
  <c r="G171" i="1"/>
  <c r="G153" i="1"/>
  <c r="G135" i="1"/>
  <c r="G88" i="1"/>
  <c r="G62" i="1"/>
  <c r="G15" i="1"/>
  <c r="F129" i="1"/>
  <c r="G129" i="1"/>
  <c r="G105" i="1"/>
  <c r="F105" i="1"/>
  <c r="F362" i="1"/>
  <c r="G206" i="1"/>
  <c r="F206" i="1"/>
  <c r="F166" i="1"/>
  <c r="G166" i="1"/>
  <c r="G142" i="1"/>
  <c r="F142" i="1"/>
  <c r="F102" i="1"/>
  <c r="G102" i="1"/>
  <c r="G78" i="1"/>
  <c r="F78" i="1"/>
  <c r="F38" i="1"/>
  <c r="G38" i="1"/>
  <c r="G14" i="1"/>
  <c r="F14" i="1"/>
  <c r="F359" i="1"/>
  <c r="F347" i="1"/>
  <c r="F337" i="1"/>
  <c r="F314" i="1"/>
  <c r="F303" i="1"/>
  <c r="F291" i="1"/>
  <c r="F266" i="1"/>
  <c r="F255" i="1"/>
  <c r="F241" i="1"/>
  <c r="F230" i="1"/>
  <c r="F218" i="1"/>
  <c r="F177" i="1"/>
  <c r="F163" i="1"/>
  <c r="F149" i="1"/>
  <c r="F134" i="1"/>
  <c r="F119" i="1"/>
  <c r="F104" i="1"/>
  <c r="F61" i="1"/>
  <c r="F46" i="1"/>
  <c r="F31" i="1"/>
  <c r="F17" i="1"/>
  <c r="G318" i="1"/>
  <c r="G289" i="1"/>
  <c r="G245" i="1"/>
  <c r="G216" i="1"/>
  <c r="G107" i="1"/>
  <c r="F258" i="1"/>
  <c r="G358" i="1"/>
  <c r="F358" i="1"/>
  <c r="G270" i="1"/>
  <c r="F270" i="1"/>
  <c r="G261" i="1"/>
  <c r="F261" i="1"/>
  <c r="G197" i="1"/>
  <c r="F197" i="1"/>
  <c r="F157" i="1"/>
  <c r="G157" i="1"/>
  <c r="G133" i="1"/>
  <c r="F133" i="1"/>
  <c r="F93" i="1"/>
  <c r="G93" i="1"/>
  <c r="G69" i="1"/>
  <c r="F69" i="1"/>
  <c r="F29" i="1"/>
  <c r="G29" i="1"/>
  <c r="G5" i="1"/>
  <c r="F5" i="1"/>
  <c r="F346" i="1"/>
  <c r="F325" i="1"/>
  <c r="F302" i="1"/>
  <c r="F229" i="1"/>
  <c r="F191" i="1"/>
  <c r="F131" i="1"/>
  <c r="F118" i="1"/>
  <c r="F103" i="1"/>
  <c r="F73" i="1"/>
  <c r="F45" i="1"/>
  <c r="F30" i="1"/>
  <c r="G272" i="1"/>
  <c r="G214" i="1"/>
  <c r="G199" i="1"/>
  <c r="G80" i="1"/>
  <c r="G57" i="1"/>
  <c r="G7" i="1"/>
  <c r="F193" i="1"/>
  <c r="G193" i="1"/>
  <c r="G169" i="1"/>
  <c r="F169" i="1"/>
  <c r="G356" i="1"/>
  <c r="F356" i="1"/>
  <c r="G332" i="1"/>
  <c r="F332" i="1"/>
  <c r="G316" i="1"/>
  <c r="F316" i="1"/>
  <c r="G300" i="1"/>
  <c r="F300" i="1"/>
  <c r="G284" i="1"/>
  <c r="F284" i="1"/>
  <c r="G268" i="1"/>
  <c r="F268" i="1"/>
  <c r="G252" i="1"/>
  <c r="F252" i="1"/>
  <c r="G236" i="1"/>
  <c r="F236" i="1"/>
  <c r="G212" i="1"/>
  <c r="F212" i="1"/>
  <c r="G196" i="1"/>
  <c r="F196" i="1"/>
  <c r="G172" i="1"/>
  <c r="F172" i="1"/>
  <c r="G140" i="1"/>
  <c r="F140" i="1"/>
  <c r="F202" i="1"/>
  <c r="F159" i="1"/>
  <c r="F145" i="1"/>
  <c r="F86" i="1"/>
  <c r="G299" i="1"/>
  <c r="G226" i="1"/>
  <c r="G126" i="1"/>
  <c r="G53" i="1"/>
  <c r="G132" i="1"/>
  <c r="F132" i="1"/>
  <c r="G124" i="1"/>
  <c r="F124" i="1"/>
  <c r="G116" i="1"/>
  <c r="F116" i="1"/>
  <c r="G108" i="1"/>
  <c r="F108" i="1"/>
  <c r="G100" i="1"/>
  <c r="F100" i="1"/>
  <c r="G92" i="1"/>
  <c r="F92" i="1"/>
  <c r="G84" i="1"/>
  <c r="F84" i="1"/>
  <c r="G76" i="1"/>
  <c r="F76" i="1"/>
  <c r="G68" i="1"/>
  <c r="F68" i="1"/>
  <c r="G60" i="1"/>
  <c r="F60" i="1"/>
  <c r="G52" i="1"/>
  <c r="F52" i="1"/>
  <c r="G44" i="1"/>
  <c r="F44" i="1"/>
  <c r="G36" i="1"/>
  <c r="F36" i="1"/>
  <c r="G28" i="1"/>
  <c r="F28" i="1"/>
  <c r="G20" i="1"/>
  <c r="F20" i="1"/>
  <c r="G12" i="1"/>
  <c r="F12" i="1"/>
  <c r="G4" i="1"/>
  <c r="F4" i="1"/>
  <c r="G138" i="1"/>
  <c r="G74" i="1"/>
  <c r="G10" i="1"/>
  <c r="F114" i="1"/>
  <c r="F50" i="1"/>
</calcChain>
</file>

<file path=xl/sharedStrings.xml><?xml version="1.0" encoding="utf-8"?>
<sst xmlns="http://schemas.openxmlformats.org/spreadsheetml/2006/main" count="160" uniqueCount="133">
  <si>
    <t>r</t>
    <phoneticPr fontId="1" type="noConversion"/>
  </si>
  <si>
    <t>R</t>
    <phoneticPr fontId="1" type="noConversion"/>
  </si>
  <si>
    <t>E</t>
    <phoneticPr fontId="1" type="noConversion"/>
  </si>
  <si>
    <t>Rr</t>
    <phoneticPr fontId="1" type="noConversion"/>
  </si>
  <si>
    <t>N</t>
    <phoneticPr fontId="1" type="noConversion"/>
  </si>
  <si>
    <t>x좌표</t>
    <phoneticPr fontId="1" type="noConversion"/>
  </si>
  <si>
    <t>y좌표</t>
    <phoneticPr fontId="1" type="noConversion"/>
  </si>
  <si>
    <t>라디안</t>
    <phoneticPr fontId="1" type="noConversion"/>
  </si>
  <si>
    <t>각도</t>
    <phoneticPr fontId="1" type="noConversion"/>
  </si>
  <si>
    <t>d</t>
    <phoneticPr fontId="1" type="noConversion"/>
  </si>
  <si>
    <t>t</t>
    <phoneticPr fontId="1" type="noConversion"/>
  </si>
  <si>
    <t>x_e</t>
    <phoneticPr fontId="1" type="noConversion"/>
  </si>
  <si>
    <t>y_e</t>
    <phoneticPr fontId="1" type="noConversion"/>
  </si>
  <si>
    <t>x_h</t>
    <phoneticPr fontId="1" type="noConversion"/>
  </si>
  <si>
    <t>y_h</t>
    <phoneticPr fontId="1" type="noConversion"/>
  </si>
  <si>
    <t>radian</t>
    <phoneticPr fontId="1" type="noConversion"/>
  </si>
  <si>
    <t>인벤터 복붙용수식</t>
    <phoneticPr fontId="1" type="noConversion"/>
  </si>
  <si>
    <t xml:space="preserve">tmin </t>
  </si>
  <si>
    <t>tmax</t>
    <phoneticPr fontId="1" type="noConversion"/>
  </si>
  <si>
    <t>X축 수식</t>
  </si>
  <si>
    <t>Y축 수식</t>
  </si>
  <si>
    <t>2*PI</t>
    <phoneticPr fontId="1" type="noConversion"/>
  </si>
  <si>
    <t>분류</t>
    <phoneticPr fontId="1" type="noConversion"/>
  </si>
  <si>
    <t>기계요소 제고 정리리스트</t>
    <phoneticPr fontId="1" type="noConversion"/>
  </si>
  <si>
    <t>이름</t>
    <phoneticPr fontId="1" type="noConversion"/>
  </si>
  <si>
    <t>수량</t>
    <phoneticPr fontId="1" type="noConversion"/>
  </si>
  <si>
    <t>길이</t>
    <phoneticPr fontId="1" type="noConversion"/>
  </si>
  <si>
    <t>높이/두께</t>
    <phoneticPr fontId="1" type="noConversion"/>
  </si>
  <si>
    <t>내경</t>
    <phoneticPr fontId="1" type="noConversion"/>
  </si>
  <si>
    <t>외경</t>
    <phoneticPr fontId="1" type="noConversion"/>
  </si>
  <si>
    <t>베어링</t>
    <phoneticPr fontId="1" type="noConversion"/>
  </si>
  <si>
    <t>볼트</t>
    <phoneticPr fontId="1" type="noConversion"/>
  </si>
  <si>
    <t>너트</t>
    <phoneticPr fontId="1" type="noConversion"/>
  </si>
  <si>
    <t>와셔</t>
    <phoneticPr fontId="1" type="noConversion"/>
  </si>
  <si>
    <t>핀</t>
    <phoneticPr fontId="1" type="noConversion"/>
  </si>
  <si>
    <t>샤프트</t>
    <phoneticPr fontId="1" type="noConversion"/>
  </si>
  <si>
    <t>타이밍벨트</t>
    <phoneticPr fontId="1" type="noConversion"/>
  </si>
  <si>
    <t>*기계요소분류 데이터</t>
    <phoneticPr fontId="1" type="noConversion"/>
  </si>
  <si>
    <t>*전자부품분류테이터</t>
    <phoneticPr fontId="1" type="noConversion"/>
  </si>
  <si>
    <t>플랜지</t>
  </si>
  <si>
    <t>플랜지</t>
    <phoneticPr fontId="1" type="noConversion"/>
  </si>
  <si>
    <t>5mm샤프트 플랜지</t>
    <phoneticPr fontId="1" type="noConversion"/>
  </si>
  <si>
    <t>스텐 볼</t>
    <phoneticPr fontId="1" type="noConversion"/>
  </si>
  <si>
    <t>대구경 베어링(출력축)</t>
    <phoneticPr fontId="1" type="noConversion"/>
  </si>
  <si>
    <t>대구경 베어링(입력축1)</t>
    <phoneticPr fontId="1" type="noConversion"/>
  </si>
  <si>
    <t>대구경 베어링(입력축2)</t>
  </si>
  <si>
    <t>30*42*7</t>
    <phoneticPr fontId="1" type="noConversion"/>
  </si>
  <si>
    <t>20*32*7</t>
    <phoneticPr fontId="1" type="noConversion"/>
  </si>
  <si>
    <t>디스크 1상(120)</t>
    <phoneticPr fontId="1" type="noConversion"/>
  </si>
  <si>
    <t>디스크 2상(240)</t>
    <phoneticPr fontId="1" type="noConversion"/>
  </si>
  <si>
    <t>디스크 3상(360)</t>
    <phoneticPr fontId="1" type="noConversion"/>
  </si>
  <si>
    <t>편심축 1상(120)</t>
    <phoneticPr fontId="1" type="noConversion"/>
  </si>
  <si>
    <t>편심축 1상(240)</t>
    <phoneticPr fontId="1" type="noConversion"/>
  </si>
  <si>
    <t>편심축 1상(360)</t>
    <phoneticPr fontId="1" type="noConversion"/>
  </si>
  <si>
    <t>입력축 커버링</t>
    <phoneticPr fontId="1" type="noConversion"/>
  </si>
  <si>
    <t>하우징 상</t>
    <phoneticPr fontId="1" type="noConversion"/>
  </si>
  <si>
    <t>하우징 하</t>
    <phoneticPr fontId="1" type="noConversion"/>
  </si>
  <si>
    <t>출력축-롤러핀 홀더 상</t>
    <phoneticPr fontId="1" type="noConversion"/>
  </si>
  <si>
    <t>출력축-롤러핀 홀더 하</t>
    <phoneticPr fontId="1" type="noConversion"/>
  </si>
  <si>
    <t>출력축 축</t>
    <phoneticPr fontId="1" type="noConversion"/>
  </si>
  <si>
    <t>입력축 동력전달 플랜지</t>
    <phoneticPr fontId="1" type="noConversion"/>
  </si>
  <si>
    <t>입력 편심축 지지 핀</t>
    <phoneticPr fontId="1" type="noConversion"/>
  </si>
  <si>
    <t>단위갯수</t>
    <phoneticPr fontId="1" type="noConversion"/>
  </si>
  <si>
    <t>출력롤러 핀</t>
    <phoneticPr fontId="1" type="noConversion"/>
  </si>
  <si>
    <t>호칭 품명</t>
    <phoneticPr fontId="1" type="noConversion"/>
  </si>
  <si>
    <t>출력품 호칭</t>
    <phoneticPr fontId="1" type="noConversion"/>
  </si>
  <si>
    <t>배수</t>
    <phoneticPr fontId="1" type="noConversion"/>
  </si>
  <si>
    <t>S6 베어링용 스텐볼</t>
    <phoneticPr fontId="1" type="noConversion"/>
  </si>
  <si>
    <t>M3-50 롤러핀</t>
    <phoneticPr fontId="1" type="noConversion"/>
  </si>
  <si>
    <t>상세정보</t>
    <phoneticPr fontId="1" type="noConversion"/>
  </si>
  <si>
    <t>상세정보1</t>
    <phoneticPr fontId="1" type="noConversion"/>
  </si>
  <si>
    <t>상세정보2</t>
  </si>
  <si>
    <t>6파이</t>
    <phoneticPr fontId="1" type="noConversion"/>
  </si>
  <si>
    <t>ABEC-6705ZZ</t>
    <phoneticPr fontId="1" type="noConversion"/>
  </si>
  <si>
    <t>ABEC-6706ZZ</t>
    <phoneticPr fontId="1" type="noConversion"/>
  </si>
  <si>
    <t>M2-100</t>
    <phoneticPr fontId="1" type="noConversion"/>
  </si>
  <si>
    <t>절단예정</t>
    <phoneticPr fontId="1" type="noConversion"/>
  </si>
  <si>
    <t>M5-XXX</t>
    <phoneticPr fontId="1" type="noConversion"/>
  </si>
  <si>
    <t>M5-220플랜지</t>
    <phoneticPr fontId="1" type="noConversion"/>
  </si>
  <si>
    <t>M3미터나사 체결</t>
    <phoneticPr fontId="1" type="noConversion"/>
  </si>
  <si>
    <t>DISK-1P</t>
    <phoneticPr fontId="1" type="noConversion"/>
  </si>
  <si>
    <t>DISK-2P</t>
  </si>
  <si>
    <t>DISK-3P</t>
  </si>
  <si>
    <t>SHAFT-1P</t>
    <phoneticPr fontId="1" type="noConversion"/>
  </si>
  <si>
    <t>SHAFT-2P</t>
  </si>
  <si>
    <t>SHAFT-3P</t>
  </si>
  <si>
    <t>INPUT-COVER</t>
    <phoneticPr fontId="1" type="noConversion"/>
  </si>
  <si>
    <t>HOUSING-D</t>
    <phoneticPr fontId="1" type="noConversion"/>
  </si>
  <si>
    <t>HOUSING-U</t>
    <phoneticPr fontId="1" type="noConversion"/>
  </si>
  <si>
    <t>OUTPUT-U</t>
    <phoneticPr fontId="1" type="noConversion"/>
  </si>
  <si>
    <t>OUTPUT-D</t>
    <phoneticPr fontId="1" type="noConversion"/>
  </si>
  <si>
    <t>크기</t>
    <phoneticPr fontId="1" type="noConversion"/>
  </si>
  <si>
    <t>120도의 위상을 가지는 편심운동하는 디스크</t>
    <phoneticPr fontId="1" type="noConversion"/>
  </si>
  <si>
    <t>240도의 위상을 가지는 편심운동하는 디스크</t>
    <phoneticPr fontId="1" type="noConversion"/>
  </si>
  <si>
    <t>360도의 위상을 가지는 편심운동하는 디스크</t>
    <phoneticPr fontId="1" type="noConversion"/>
  </si>
  <si>
    <t>입력축으로 동력을 받아 120도의 위상을 출력하는 편심축</t>
    <phoneticPr fontId="1" type="noConversion"/>
  </si>
  <si>
    <t>입력축으로 동력을 받아 240도의 위상을 출력하는 편심축</t>
    <phoneticPr fontId="1" type="noConversion"/>
  </si>
  <si>
    <t>입력축으로 동력을 받아 360도의 위상을 출력하는 편심축</t>
    <phoneticPr fontId="1" type="noConversion"/>
  </si>
  <si>
    <t>입력축의 동력을 전달하는 플랜지겸 커플러</t>
    <phoneticPr fontId="1" type="noConversion"/>
  </si>
  <si>
    <t>상부과 거의 동일</t>
    <phoneticPr fontId="1" type="noConversion"/>
  </si>
  <si>
    <t>노출형태의 디스크로 제작, 입력축의 동력분배장치가 있어야함</t>
    <phoneticPr fontId="1" type="noConversion"/>
  </si>
  <si>
    <t>핀을 결속시키며 출력축과 체결되어있는 원형모양의 홀더</t>
    <phoneticPr fontId="1" type="noConversion"/>
  </si>
  <si>
    <t>상동하나, 플랜지구조 대신 베어링 지지구조를 포함하여야함</t>
    <phoneticPr fontId="1" type="noConversion"/>
  </si>
  <si>
    <t>M3-25/M3-50</t>
    <phoneticPr fontId="1" type="noConversion"/>
  </si>
  <si>
    <t>디스크-하우징간 마찰을 방지하고 편심운동을 보조</t>
    <phoneticPr fontId="1" type="noConversion"/>
  </si>
  <si>
    <t>1차 시제품상 회전하지 아니하며 결속되어 정회전</t>
    <phoneticPr fontId="1" type="noConversion"/>
  </si>
  <si>
    <r>
      <t>Z</t>
    </r>
    <r>
      <rPr>
        <i/>
        <sz val="7.7"/>
        <color rgb="FFC7C7C7"/>
        <rFont val="KaTeX_Math"/>
        <family val="2"/>
      </rPr>
      <t>p</t>
    </r>
    <r>
      <rPr>
        <sz val="1"/>
        <color rgb="FFC7C7C7"/>
        <rFont val="Times New Roman"/>
        <family val="1"/>
      </rPr>
      <t>​</t>
    </r>
  </si>
  <si>
    <r>
      <t>Z</t>
    </r>
    <r>
      <rPr>
        <i/>
        <sz val="7.7"/>
        <color rgb="FFC7C7C7"/>
        <rFont val="KaTeX_Math"/>
        <family val="2"/>
      </rPr>
      <t>g</t>
    </r>
  </si>
  <si>
    <r>
      <t>r</t>
    </r>
    <r>
      <rPr>
        <i/>
        <sz val="7.7"/>
        <color rgb="FFC7C7C7"/>
        <rFont val="KaTeX_Math"/>
        <family val="2"/>
      </rPr>
      <t>h</t>
    </r>
  </si>
  <si>
    <r>
      <t>r</t>
    </r>
    <r>
      <rPr>
        <i/>
        <sz val="7.7"/>
        <color rgb="FFC7C7C7"/>
        <rFont val="KaTeX_Math"/>
        <family val="2"/>
      </rPr>
      <t>p</t>
    </r>
  </si>
  <si>
    <t>x</t>
  </si>
  <si>
    <t>= $r_h * SIN(A10) - $e * SIN($B * A10)</t>
  </si>
  <si>
    <t>= $r_h * COS(A10) - $e * COS($B * A10)</t>
  </si>
  <si>
    <t>= $r_h * COS(A10) - $e * $B * COS($B * A10)</t>
  </si>
  <si>
    <t>= -$r_h * SIN(A10) + $e * $B * SIN($B * A10)</t>
  </si>
  <si>
    <t>= B10 + $r_p * (E10 / F10)</t>
  </si>
  <si>
    <t>= C10 - $r_p * (D10 / F10)</t>
  </si>
  <si>
    <t>동력축 고정 베어링</t>
    <phoneticPr fontId="1" type="noConversion"/>
  </si>
  <si>
    <t>편심운동 동력전달 베어링</t>
    <phoneticPr fontId="1" type="noConversion"/>
  </si>
  <si>
    <t>다이어프램</t>
    <phoneticPr fontId="1" type="noConversion"/>
  </si>
  <si>
    <t>체크밸브</t>
    <phoneticPr fontId="1" type="noConversion"/>
  </si>
  <si>
    <t>입력배관, 출력배관 2개씩 필요</t>
    <phoneticPr fontId="1" type="noConversion"/>
  </si>
  <si>
    <t>동력입력 타이밍 벨트 풀리</t>
    <phoneticPr fontId="1" type="noConversion"/>
  </si>
  <si>
    <t>다이어 프램 고정 부</t>
    <phoneticPr fontId="1" type="noConversion"/>
  </si>
  <si>
    <t>축 고정부 하</t>
    <phoneticPr fontId="1" type="noConversion"/>
  </si>
  <si>
    <t>축 고정부 상</t>
    <phoneticPr fontId="1" type="noConversion"/>
  </si>
  <si>
    <t>편심운동 전달축1</t>
    <phoneticPr fontId="1" type="noConversion"/>
  </si>
  <si>
    <t>편심운동 전달축2</t>
    <phoneticPr fontId="1" type="noConversion"/>
  </si>
  <si>
    <t>편심운동 전달링크</t>
    <phoneticPr fontId="1" type="noConversion"/>
  </si>
  <si>
    <t>수직운동 변환 홀더</t>
    <phoneticPr fontId="1" type="noConversion"/>
  </si>
  <si>
    <t>수직운동 전달 링크</t>
    <phoneticPr fontId="1" type="noConversion"/>
  </si>
  <si>
    <t>수직운동 링크 베어링</t>
    <phoneticPr fontId="1" type="noConversion"/>
  </si>
  <si>
    <t>하이포사이클로이드 곡선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</si>
</sst>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C7C7C7"/>
      <name val="Google Sans Code"/>
      <family val="2"/>
    </font>
    <font>
      <sz val="10"/>
      <color rgb="FFC7C7C7"/>
      <name val="Google Sans Code"/>
      <family val="2"/>
    </font>
    <font>
      <sz val="10"/>
      <color theme="1"/>
      <name val="Arial Unicode MS"/>
      <family val="3"/>
      <charset val="129"/>
    </font>
    <font>
      <b/>
      <sz val="10"/>
      <color theme="1"/>
      <name val="Google Sans Text"/>
      <family val="2"/>
    </font>
    <font>
      <sz val="8"/>
      <color theme="1"/>
      <name val="Google Sans Code"/>
      <family val="2"/>
    </font>
    <font>
      <b/>
      <sz val="11"/>
      <color theme="1"/>
      <name val="맑은 고딕"/>
      <family val="3"/>
      <charset val="129"/>
      <scheme val="minor"/>
    </font>
    <font>
      <i/>
      <sz val="7.7"/>
      <color rgb="FFC7C7C7"/>
      <name val="KaTeX_Math"/>
      <family val="2"/>
    </font>
    <font>
      <sz val="1"/>
      <color rgb="FFC7C7C7"/>
      <name val="Times New Roman"/>
      <family val="1"/>
    </font>
    <font>
      <i/>
      <sz val="13.3"/>
      <color rgb="FFC7C7C7"/>
      <name val="KaTeX_Math"/>
      <family val="2"/>
    </font>
    <font>
      <i/>
      <sz val="15"/>
      <color rgb="FFC7C7C7"/>
      <name val="KaTeX_Math"/>
      <family val="2"/>
    </font>
    <font>
      <sz val="11"/>
      <color rgb="FFC7C7C7"/>
      <name val="Google Sans Code"/>
      <family val="2"/>
    </font>
    <font>
      <sz val="10"/>
      <color rgb="FFC7C7C7"/>
      <name val="Google Sans Cod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0" fillId="0" borderId="5" xfId="0" applyBorder="1">
      <alignment vertical="center"/>
    </xf>
    <xf numFmtId="0" fontId="5" fillId="0" borderId="6" xfId="0" applyFont="1" applyBorder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4" fillId="0" borderId="0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사이클로이드 치형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사이클로이드!$F$2:$F$362</c:f>
              <c:numCache>
                <c:formatCode>General</c:formatCode>
                <c:ptCount val="361"/>
                <c:pt idx="0">
                  <c:v>15.5</c:v>
                </c:pt>
                <c:pt idx="1">
                  <c:v>16.323135093411445</c:v>
                </c:pt>
                <c:pt idx="2">
                  <c:v>16.576909769426585</c:v>
                </c:pt>
                <c:pt idx="3">
                  <c:v>16.646296909484199</c:v>
                </c:pt>
                <c:pt idx="4">
                  <c:v>16.700397694908499</c:v>
                </c:pt>
                <c:pt idx="5">
                  <c:v>16.772123278219912</c:v>
                </c:pt>
                <c:pt idx="6">
                  <c:v>16.861989063287165</c:v>
                </c:pt>
                <c:pt idx="7">
                  <c:v>16.959755176306114</c:v>
                </c:pt>
                <c:pt idx="8">
                  <c:v>17.051556372499785</c:v>
                </c:pt>
                <c:pt idx="9">
                  <c:v>17.123379260444004</c:v>
                </c:pt>
                <c:pt idx="10">
                  <c:v>17.163238219226741</c:v>
                </c:pt>
                <c:pt idx="11">
                  <c:v>17.16265294106358</c:v>
                </c:pt>
                <c:pt idx="12">
                  <c:v>17.1175830128416</c:v>
                </c:pt>
                <c:pt idx="13">
                  <c:v>17.028852977710599</c:v>
                </c:pt>
                <c:pt idx="14">
                  <c:v>16.902077795709257</c:v>
                </c:pt>
                <c:pt idx="15">
                  <c:v>16.747107301356394</c:v>
                </c:pt>
                <c:pt idx="16">
                  <c:v>16.577023422127446</c:v>
                </c:pt>
                <c:pt idx="17">
                  <c:v>16.406728248745669</c:v>
                </c:pt>
                <c:pt idx="18">
                  <c:v>16.251128437750978</c:v>
                </c:pt>
                <c:pt idx="19">
                  <c:v>16.122782877361665</c:v>
                </c:pt>
                <c:pt idx="20">
                  <c:v>16.028392422085659</c:v>
                </c:pt>
                <c:pt idx="21">
                  <c:v>15.961588126164591</c:v>
                </c:pt>
                <c:pt idx="22">
                  <c:v>15.879690822446818</c:v>
                </c:pt>
                <c:pt idx="23">
                  <c:v>15.577982667159255</c:v>
                </c:pt>
                <c:pt idx="24">
                  <c:v>14.159954593460311</c:v>
                </c:pt>
                <c:pt idx="25">
                  <c:v>14.245869170985852</c:v>
                </c:pt>
                <c:pt idx="26">
                  <c:v>14.407830420775005</c:v>
                </c:pt>
                <c:pt idx="27">
                  <c:v>14.452709730294123</c:v>
                </c:pt>
                <c:pt idx="28">
                  <c:v>14.484752487931589</c:v>
                </c:pt>
                <c:pt idx="29">
                  <c:v>14.521411194317386</c:v>
                </c:pt>
                <c:pt idx="30">
                  <c:v>14.557258593419437</c:v>
                </c:pt>
                <c:pt idx="31">
                  <c:v>14.580286359344409</c:v>
                </c:pt>
                <c:pt idx="32">
                  <c:v>14.577720317540395</c:v>
                </c:pt>
                <c:pt idx="33">
                  <c:v>14.53886338438388</c:v>
                </c:pt>
                <c:pt idx="34">
                  <c:v>14.456718831515689</c:v>
                </c:pt>
                <c:pt idx="35">
                  <c:v>14.328874293099519</c:v>
                </c:pt>
                <c:pt idx="36">
                  <c:v>14.157797401561581</c:v>
                </c:pt>
                <c:pt idx="37">
                  <c:v>13.950609632238809</c:v>
                </c:pt>
                <c:pt idx="38">
                  <c:v>13.718394570757368</c:v>
                </c:pt>
                <c:pt idx="39">
                  <c:v>13.475108347170737</c:v>
                </c:pt>
                <c:pt idx="40">
                  <c:v>13.236172524539281</c:v>
                </c:pt>
                <c:pt idx="41">
                  <c:v>13.016828956530189</c:v>
                </c:pt>
                <c:pt idx="42">
                  <c:v>12.830300068460639</c:v>
                </c:pt>
                <c:pt idx="43">
                  <c:v>12.685666846123397</c:v>
                </c:pt>
                <c:pt idx="44">
                  <c:v>12.584932486110382</c:v>
                </c:pt>
                <c:pt idx="45">
                  <c:v>12.516975749355272</c:v>
                </c:pt>
                <c:pt idx="46">
                  <c:v>12.436729069803791</c:v>
                </c:pt>
                <c:pt idx="47">
                  <c:v>12.139255516225571</c:v>
                </c:pt>
                <c:pt idx="48">
                  <c:v>10.371524398562292</c:v>
                </c:pt>
                <c:pt idx="49">
                  <c:v>9.705363049238338</c:v>
                </c:pt>
                <c:pt idx="50">
                  <c:v>9.7475063013411898</c:v>
                </c:pt>
                <c:pt idx="51">
                  <c:v>9.7601177399902319</c:v>
                </c:pt>
                <c:pt idx="52">
                  <c:v>9.7645619859460258</c:v>
                </c:pt>
                <c:pt idx="53">
                  <c:v>9.7598151920382232</c:v>
                </c:pt>
                <c:pt idx="54">
                  <c:v>9.7354458642069162</c:v>
                </c:pt>
                <c:pt idx="55">
                  <c:v>9.6797535731088047</c:v>
                </c:pt>
                <c:pt idx="56">
                  <c:v>9.5832639852467825</c:v>
                </c:pt>
                <c:pt idx="57">
                  <c:v>9.4404459477364497</c:v>
                </c:pt>
                <c:pt idx="58">
                  <c:v>9.2505014226680711</c:v>
                </c:pt>
                <c:pt idx="59">
                  <c:v>9.0175031061222182</c:v>
                </c:pt>
                <c:pt idx="60">
                  <c:v>8.7500000000000018</c:v>
                </c:pt>
                <c:pt idx="61">
                  <c:v>8.4601791440431651</c:v>
                </c:pt>
                <c:pt idx="62">
                  <c:v>8.1626762968193685</c:v>
                </c:pt>
                <c:pt idx="63">
                  <c:v>7.8731407422430539</c:v>
                </c:pt>
                <c:pt idx="64">
                  <c:v>7.606667150605869</c:v>
                </c:pt>
                <c:pt idx="65">
                  <c:v>7.3762016835519857</c:v>
                </c:pt>
                <c:pt idx="66">
                  <c:v>7.1909962577165603</c:v>
                </c:pt>
                <c:pt idx="67">
                  <c:v>7.0550837715250685</c:v>
                </c:pt>
                <c:pt idx="68">
                  <c:v>6.9654233927642251</c:v>
                </c:pt>
                <c:pt idx="69">
                  <c:v>6.9080645523276054</c:v>
                </c:pt>
                <c:pt idx="70">
                  <c:v>6.8433438768550703</c:v>
                </c:pt>
                <c:pt idx="71">
                  <c:v>6.6015408048622639</c:v>
                </c:pt>
                <c:pt idx="72">
                  <c:v>4.789763412811693</c:v>
                </c:pt>
                <c:pt idx="73">
                  <c:v>3.4867114858222017</c:v>
                </c:pt>
                <c:pt idx="74">
                  <c:v>3.4017497890907418</c:v>
                </c:pt>
                <c:pt idx="75">
                  <c:v>3.3799127245559619</c:v>
                </c:pt>
                <c:pt idx="76">
                  <c:v>3.3559900083296248</c:v>
                </c:pt>
                <c:pt idx="77">
                  <c:v>3.3106584779181429</c:v>
                </c:pt>
                <c:pt idx="78">
                  <c:v>3.2302861013239128</c:v>
                </c:pt>
                <c:pt idx="79">
                  <c:v>3.1055034562821588</c:v>
                </c:pt>
                <c:pt idx="80">
                  <c:v>2.9317742486838605</c:v>
                </c:pt>
                <c:pt idx="81">
                  <c:v>2.709689642966381</c:v>
                </c:pt>
                <c:pt idx="82">
                  <c:v>2.444788279673979</c:v>
                </c:pt>
                <c:pt idx="83">
                  <c:v>2.146923710652477</c:v>
                </c:pt>
                <c:pt idx="84">
                  <c:v>1.8292481071839346</c:v>
                </c:pt>
                <c:pt idx="85">
                  <c:v>1.506906823527786</c:v>
                </c:pt>
                <c:pt idx="86">
                  <c:v>1.1955571355751502</c:v>
                </c:pt>
                <c:pt idx="87">
                  <c:v>0.90983557774333224</c:v>
                </c:pt>
                <c:pt idx="88">
                  <c:v>0.66189992193107583</c:v>
                </c:pt>
                <c:pt idx="89">
                  <c:v>0.46016212879906115</c:v>
                </c:pt>
                <c:pt idx="90">
                  <c:v>0.3083038658631676</c:v>
                </c:pt>
                <c:pt idx="91">
                  <c:v>0.20461261940611564</c:v>
                </c:pt>
                <c:pt idx="92">
                  <c:v>0.14152931592416362</c:v>
                </c:pt>
                <c:pt idx="93">
                  <c:v>0.10468623640623176</c:v>
                </c:pt>
                <c:pt idx="94">
                  <c:v>6.6682357770716572E-2</c:v>
                </c:pt>
                <c:pt idx="95">
                  <c:v>-7.7640284777181545E-2</c:v>
                </c:pt>
                <c:pt idx="96">
                  <c:v>-1.6201911806486615</c:v>
                </c:pt>
                <c:pt idx="97">
                  <c:v>-3.3348241692720215</c:v>
                </c:pt>
                <c:pt idx="98">
                  <c:v>-3.5322001656201412</c:v>
                </c:pt>
                <c:pt idx="99">
                  <c:v>-3.584709906497177</c:v>
                </c:pt>
                <c:pt idx="100">
                  <c:v>-3.6328631299390599</c:v>
                </c:pt>
                <c:pt idx="101">
                  <c:v>-3.7109411634220466</c:v>
                </c:pt>
                <c:pt idx="102">
                  <c:v>-3.8334194747059431</c:v>
                </c:pt>
                <c:pt idx="103">
                  <c:v>-4.0057164207488771</c:v>
                </c:pt>
                <c:pt idx="104">
                  <c:v>-4.2266458898094088</c:v>
                </c:pt>
                <c:pt idx="105">
                  <c:v>-4.4895966178301734</c:v>
                </c:pt>
                <c:pt idx="106">
                  <c:v>-4.7836509670800043</c:v>
                </c:pt>
                <c:pt idx="107">
                  <c:v>-5.0948782985786849</c:v>
                </c:pt>
                <c:pt idx="108">
                  <c:v>-5.4077974015615782</c:v>
                </c:pt>
                <c:pt idx="109">
                  <c:v>-5.7069233765942613</c:v>
                </c:pt>
                <c:pt idx="110">
                  <c:v>-5.9782847157056125</c:v>
                </c:pt>
                <c:pt idx="111">
                  <c:v>-6.2107884237449467</c:v>
                </c:pt>
                <c:pt idx="112">
                  <c:v>-6.3973158164176178</c:v>
                </c:pt>
                <c:pt idx="113">
                  <c:v>-6.535443638464927</c:v>
                </c:pt>
                <c:pt idx="114">
                  <c:v>-6.6276970652506577</c:v>
                </c:pt>
                <c:pt idx="115">
                  <c:v>-6.6812379134554467</c:v>
                </c:pt>
                <c:pt idx="116">
                  <c:v>-6.7068364653926587</c:v>
                </c:pt>
                <c:pt idx="117">
                  <c:v>-6.7167932808343789</c:v>
                </c:pt>
                <c:pt idx="118">
                  <c:v>-6.7215091467623944</c:v>
                </c:pt>
                <c:pt idx="119">
                  <c:v>-6.7433966638387997</c:v>
                </c:pt>
                <c:pt idx="120">
                  <c:v>-7.7499999999999467</c:v>
                </c:pt>
                <c:pt idx="121">
                  <c:v>-9.5797384295726413</c:v>
                </c:pt>
                <c:pt idx="122">
                  <c:v>-9.8554006226641864</c:v>
                </c:pt>
                <c:pt idx="123">
                  <c:v>-9.9295036286498188</c:v>
                </c:pt>
                <c:pt idx="124">
                  <c:v>-9.9935612295158442</c:v>
                </c:pt>
                <c:pt idx="125">
                  <c:v>-10.090885364764466</c:v>
                </c:pt>
                <c:pt idx="126">
                  <c:v>-10.234291998036509</c:v>
                </c:pt>
                <c:pt idx="127">
                  <c:v>-10.424311537841191</c:v>
                </c:pt>
                <c:pt idx="128">
                  <c:v>-10.654240556082167</c:v>
                </c:pt>
                <c:pt idx="129">
                  <c:v>-10.912590836699051</c:v>
                </c:pt>
                <c:pt idx="130">
                  <c:v>-11.184953503521132</c:v>
                </c:pt>
                <c:pt idx="131">
                  <c:v>-11.455729564469312</c:v>
                </c:pt>
                <c:pt idx="132">
                  <c:v>-11.709785611280019</c:v>
                </c:pt>
                <c:pt idx="133">
                  <c:v>-11.933974679131913</c:v>
                </c:pt>
                <c:pt idx="134">
                  <c:v>-12.118426828629252</c:v>
                </c:pt>
                <c:pt idx="135">
                  <c:v>-12.257510683526222</c:v>
                </c:pt>
                <c:pt idx="136">
                  <c:v>-12.35037753231804</c:v>
                </c:pt>
                <c:pt idx="137">
                  <c:v>-12.40101182799679</c:v>
                </c:pt>
                <c:pt idx="138">
                  <c:v>-12.417708963045037</c:v>
                </c:pt>
                <c:pt idx="139">
                  <c:v>-12.411841713939619</c:v>
                </c:pt>
                <c:pt idx="140">
                  <c:v>-12.395529292146602</c:v>
                </c:pt>
                <c:pt idx="141">
                  <c:v>-12.376878219667413</c:v>
                </c:pt>
                <c:pt idx="142">
                  <c:v>-12.347490656826677</c:v>
                </c:pt>
                <c:pt idx="143">
                  <c:v>-12.243158497887226</c:v>
                </c:pt>
                <c:pt idx="144">
                  <c:v>-12.539763412811674</c:v>
                </c:pt>
                <c:pt idx="145">
                  <c:v>-14.168228886208675</c:v>
                </c:pt>
                <c:pt idx="146">
                  <c:v>-14.474512778545719</c:v>
                </c:pt>
                <c:pt idx="147">
                  <c:v>-14.557395966700355</c:v>
                </c:pt>
                <c:pt idx="148">
                  <c:v>-14.62628180385575</c:v>
                </c:pt>
                <c:pt idx="149">
                  <c:v>-14.726023813723501</c:v>
                </c:pt>
                <c:pt idx="150">
                  <c:v>-14.865562459282605</c:v>
                </c:pt>
                <c:pt idx="151">
                  <c:v>-15.040448488143468</c:v>
                </c:pt>
                <c:pt idx="152">
                  <c:v>-15.239620239471472</c:v>
                </c:pt>
                <c:pt idx="153">
                  <c:v>-15.44869896212721</c:v>
                </c:pt>
                <c:pt idx="154">
                  <c:v>-15.652275967090842</c:v>
                </c:pt>
                <c:pt idx="155">
                  <c:v>-15.835781116627304</c:v>
                </c:pt>
                <c:pt idx="156">
                  <c:v>-15.987045508745513</c:v>
                </c:pt>
                <c:pt idx="157">
                  <c:v>-16.097533342891285</c:v>
                </c:pt>
                <c:pt idx="158">
                  <c:v>-16.163182850431344</c:v>
                </c:pt>
                <c:pt idx="159">
                  <c:v>-16.18479799013712</c:v>
                </c:pt>
                <c:pt idx="160">
                  <c:v>-16.167946773223143</c:v>
                </c:pt>
                <c:pt idx="161">
                  <c:v>-16.122332412812344</c:v>
                </c:pt>
                <c:pt idx="162">
                  <c:v>-16.060586169784553</c:v>
                </c:pt>
                <c:pt idx="163">
                  <c:v>-15.996325324041539</c:v>
                </c:pt>
                <c:pt idx="164">
                  <c:v>-15.940922494440006</c:v>
                </c:pt>
                <c:pt idx="165">
                  <c:v>-15.896888473911233</c:v>
                </c:pt>
                <c:pt idx="166">
                  <c:v>-15.838478858894534</c:v>
                </c:pt>
                <c:pt idx="167">
                  <c:v>-15.625967002047776</c:v>
                </c:pt>
                <c:pt idx="168">
                  <c:v>-15.161287811373985</c:v>
                </c:pt>
                <c:pt idx="169">
                  <c:v>-16.306903854100597</c:v>
                </c:pt>
                <c:pt idx="170">
                  <c:v>-16.590850178196256</c:v>
                </c:pt>
                <c:pt idx="171">
                  <c:v>-16.668182292317834</c:v>
                </c:pt>
                <c:pt idx="172">
                  <c:v>-16.729985378710253</c:v>
                </c:pt>
                <c:pt idx="173">
                  <c:v>-16.814898963563287</c:v>
                </c:pt>
                <c:pt idx="174">
                  <c:v>-16.926442121923476</c:v>
                </c:pt>
                <c:pt idx="175">
                  <c:v>-17.055955256660791</c:v>
                </c:pt>
                <c:pt idx="176">
                  <c:v>-17.18993113585265</c:v>
                </c:pt>
                <c:pt idx="177">
                  <c:v>-17.313586689979502</c:v>
                </c:pt>
                <c:pt idx="178">
                  <c:v>-17.41317771948744</c:v>
                </c:pt>
                <c:pt idx="179">
                  <c:v>-17.47768225016538</c:v>
                </c:pt>
                <c:pt idx="180">
                  <c:v>-17.5</c:v>
                </c:pt>
                <c:pt idx="181">
                  <c:v>-17.477682250165383</c:v>
                </c:pt>
                <c:pt idx="182">
                  <c:v>-17.41317771948744</c:v>
                </c:pt>
                <c:pt idx="183">
                  <c:v>-17.313586689979502</c:v>
                </c:pt>
                <c:pt idx="184">
                  <c:v>-17.18993113585265</c:v>
                </c:pt>
                <c:pt idx="185">
                  <c:v>-17.055955256660791</c:v>
                </c:pt>
                <c:pt idx="186">
                  <c:v>-16.926442121923476</c:v>
                </c:pt>
                <c:pt idx="187">
                  <c:v>-16.814898963563294</c:v>
                </c:pt>
                <c:pt idx="188">
                  <c:v>-16.72998537871025</c:v>
                </c:pt>
                <c:pt idx="189">
                  <c:v>-16.668182292317837</c:v>
                </c:pt>
                <c:pt idx="190">
                  <c:v>-16.590850178196256</c:v>
                </c:pt>
                <c:pt idx="191">
                  <c:v>-16.306903854100604</c:v>
                </c:pt>
                <c:pt idx="192">
                  <c:v>-15.16128781137397</c:v>
                </c:pt>
                <c:pt idx="193">
                  <c:v>-15.625967002047775</c:v>
                </c:pt>
                <c:pt idx="194">
                  <c:v>-15.838478858894531</c:v>
                </c:pt>
                <c:pt idx="195">
                  <c:v>-15.896888473911233</c:v>
                </c:pt>
                <c:pt idx="196">
                  <c:v>-15.940922494440006</c:v>
                </c:pt>
                <c:pt idx="197">
                  <c:v>-15.996325324041541</c:v>
                </c:pt>
                <c:pt idx="198">
                  <c:v>-16.060586169784553</c:v>
                </c:pt>
                <c:pt idx="199">
                  <c:v>-16.122332412812344</c:v>
                </c:pt>
                <c:pt idx="200">
                  <c:v>-16.167946773223139</c:v>
                </c:pt>
                <c:pt idx="201">
                  <c:v>-16.18479799013712</c:v>
                </c:pt>
                <c:pt idx="202">
                  <c:v>-16.163182850431348</c:v>
                </c:pt>
                <c:pt idx="203">
                  <c:v>-16.097533342891282</c:v>
                </c:pt>
                <c:pt idx="204">
                  <c:v>-15.987045508745515</c:v>
                </c:pt>
                <c:pt idx="205">
                  <c:v>-15.835781116627306</c:v>
                </c:pt>
                <c:pt idx="206">
                  <c:v>-15.652275967090841</c:v>
                </c:pt>
                <c:pt idx="207">
                  <c:v>-15.448698962127215</c:v>
                </c:pt>
                <c:pt idx="208">
                  <c:v>-15.239620239471469</c:v>
                </c:pt>
                <c:pt idx="209">
                  <c:v>-15.040448488143472</c:v>
                </c:pt>
                <c:pt idx="210">
                  <c:v>-14.865562459282604</c:v>
                </c:pt>
                <c:pt idx="211">
                  <c:v>-14.726023813723502</c:v>
                </c:pt>
                <c:pt idx="212">
                  <c:v>-14.626281803855754</c:v>
                </c:pt>
                <c:pt idx="213">
                  <c:v>-14.557395966700355</c:v>
                </c:pt>
                <c:pt idx="214">
                  <c:v>-14.474512778545723</c:v>
                </c:pt>
                <c:pt idx="215">
                  <c:v>-14.168228886208666</c:v>
                </c:pt>
                <c:pt idx="216">
                  <c:v>-12.539763412811702</c:v>
                </c:pt>
                <c:pt idx="217">
                  <c:v>-12.243158497887228</c:v>
                </c:pt>
                <c:pt idx="218">
                  <c:v>-12.347490656826677</c:v>
                </c:pt>
                <c:pt idx="219">
                  <c:v>-12.376878219667413</c:v>
                </c:pt>
                <c:pt idx="220">
                  <c:v>-12.395529292146602</c:v>
                </c:pt>
                <c:pt idx="221">
                  <c:v>-12.411841713939618</c:v>
                </c:pt>
                <c:pt idx="222">
                  <c:v>-12.417708963045037</c:v>
                </c:pt>
                <c:pt idx="223">
                  <c:v>-12.401011827996788</c:v>
                </c:pt>
                <c:pt idx="224">
                  <c:v>-12.350377532318038</c:v>
                </c:pt>
                <c:pt idx="225">
                  <c:v>-12.257510683526224</c:v>
                </c:pt>
                <c:pt idx="226">
                  <c:v>-12.118426828629246</c:v>
                </c:pt>
                <c:pt idx="227">
                  <c:v>-11.933974679131916</c:v>
                </c:pt>
                <c:pt idx="228">
                  <c:v>-11.709785611280017</c:v>
                </c:pt>
                <c:pt idx="229">
                  <c:v>-11.455729564469319</c:v>
                </c:pt>
                <c:pt idx="230">
                  <c:v>-11.184953503521136</c:v>
                </c:pt>
                <c:pt idx="231">
                  <c:v>-10.912590836699062</c:v>
                </c:pt>
                <c:pt idx="232">
                  <c:v>-10.654240556082158</c:v>
                </c:pt>
                <c:pt idx="233">
                  <c:v>-10.424311537841188</c:v>
                </c:pt>
                <c:pt idx="234">
                  <c:v>-10.234291998036513</c:v>
                </c:pt>
                <c:pt idx="235">
                  <c:v>-10.090885364764466</c:v>
                </c:pt>
                <c:pt idx="236">
                  <c:v>-9.9935612295158425</c:v>
                </c:pt>
                <c:pt idx="237">
                  <c:v>-9.9295036286498171</c:v>
                </c:pt>
                <c:pt idx="238">
                  <c:v>-9.8554006226641899</c:v>
                </c:pt>
                <c:pt idx="239">
                  <c:v>-9.579738429572652</c:v>
                </c:pt>
                <c:pt idx="240">
                  <c:v>-7.7500000000001075</c:v>
                </c:pt>
                <c:pt idx="241">
                  <c:v>-6.7433966638387988</c:v>
                </c:pt>
                <c:pt idx="242">
                  <c:v>-6.7215091467623944</c:v>
                </c:pt>
                <c:pt idx="243">
                  <c:v>-6.7167932808343807</c:v>
                </c:pt>
                <c:pt idx="244">
                  <c:v>-6.7068364653926578</c:v>
                </c:pt>
                <c:pt idx="245">
                  <c:v>-6.681237913455444</c:v>
                </c:pt>
                <c:pt idx="246">
                  <c:v>-6.6276970652506577</c:v>
                </c:pt>
                <c:pt idx="247">
                  <c:v>-6.5354436384649279</c:v>
                </c:pt>
                <c:pt idx="248">
                  <c:v>-6.3973158164176205</c:v>
                </c:pt>
                <c:pt idx="249">
                  <c:v>-6.2107884237449511</c:v>
                </c:pt>
                <c:pt idx="250">
                  <c:v>-5.9782847157056054</c:v>
                </c:pt>
                <c:pt idx="251">
                  <c:v>-5.7069233765942675</c:v>
                </c:pt>
                <c:pt idx="252">
                  <c:v>-5.4077974015615871</c:v>
                </c:pt>
                <c:pt idx="253">
                  <c:v>-5.094878298578692</c:v>
                </c:pt>
                <c:pt idx="254">
                  <c:v>-4.7836509670800016</c:v>
                </c:pt>
                <c:pt idx="255">
                  <c:v>-4.4895966178301663</c:v>
                </c:pt>
                <c:pt idx="256">
                  <c:v>-4.2266458898094017</c:v>
                </c:pt>
                <c:pt idx="257">
                  <c:v>-4.005716420748886</c:v>
                </c:pt>
                <c:pt idx="258">
                  <c:v>-3.8334194747059502</c:v>
                </c:pt>
                <c:pt idx="259">
                  <c:v>-3.7109411634220453</c:v>
                </c:pt>
                <c:pt idx="260">
                  <c:v>-3.6328631299390586</c:v>
                </c:pt>
                <c:pt idx="261">
                  <c:v>-3.5847099064971752</c:v>
                </c:pt>
                <c:pt idx="262">
                  <c:v>-3.5322001656201443</c:v>
                </c:pt>
                <c:pt idx="263">
                  <c:v>-3.33482416927201</c:v>
                </c:pt>
                <c:pt idx="264">
                  <c:v>-1.6201911806485725</c:v>
                </c:pt>
                <c:pt idx="265">
                  <c:v>-7.7640284777181184E-2</c:v>
                </c:pt>
                <c:pt idx="266">
                  <c:v>6.668235777071585E-2</c:v>
                </c:pt>
                <c:pt idx="267">
                  <c:v>0.10468623640623242</c:v>
                </c:pt>
                <c:pt idx="268">
                  <c:v>0.1415293159241674</c:v>
                </c:pt>
                <c:pt idx="269">
                  <c:v>0.20461261940611353</c:v>
                </c:pt>
                <c:pt idx="270">
                  <c:v>0.3083038658631656</c:v>
                </c:pt>
                <c:pt idx="271">
                  <c:v>0.46016212879905682</c:v>
                </c:pt>
                <c:pt idx="272">
                  <c:v>0.6618999219310806</c:v>
                </c:pt>
                <c:pt idx="273">
                  <c:v>0.90983557774333779</c:v>
                </c:pt>
                <c:pt idx="274">
                  <c:v>1.195557135575144</c:v>
                </c:pt>
                <c:pt idx="275">
                  <c:v>1.5069068235277778</c:v>
                </c:pt>
                <c:pt idx="276">
                  <c:v>1.8292481071839253</c:v>
                </c:pt>
                <c:pt idx="277">
                  <c:v>2.1469237106524797</c:v>
                </c:pt>
                <c:pt idx="278">
                  <c:v>2.4447882796739826</c:v>
                </c:pt>
                <c:pt idx="279">
                  <c:v>2.7096896429663819</c:v>
                </c:pt>
                <c:pt idx="280">
                  <c:v>2.9317742486838498</c:v>
                </c:pt>
                <c:pt idx="281">
                  <c:v>3.1055034562821584</c:v>
                </c:pt>
                <c:pt idx="282">
                  <c:v>3.2302861013239128</c:v>
                </c:pt>
                <c:pt idx="283">
                  <c:v>3.3106584779181452</c:v>
                </c:pt>
                <c:pt idx="284">
                  <c:v>3.3559900083296252</c:v>
                </c:pt>
                <c:pt idx="285">
                  <c:v>3.3799127245559606</c:v>
                </c:pt>
                <c:pt idx="286">
                  <c:v>3.4017497890907431</c:v>
                </c:pt>
                <c:pt idx="287">
                  <c:v>3.4867114858222039</c:v>
                </c:pt>
                <c:pt idx="288">
                  <c:v>4.7897634128116486</c:v>
                </c:pt>
                <c:pt idx="289">
                  <c:v>6.6015408048622417</c:v>
                </c:pt>
                <c:pt idx="290">
                  <c:v>6.8433438768550703</c:v>
                </c:pt>
                <c:pt idx="291">
                  <c:v>6.9080645523276099</c:v>
                </c:pt>
                <c:pt idx="292">
                  <c:v>6.9654233927642233</c:v>
                </c:pt>
                <c:pt idx="293">
                  <c:v>7.0550837715250658</c:v>
                </c:pt>
                <c:pt idx="294">
                  <c:v>7.1909962577165558</c:v>
                </c:pt>
                <c:pt idx="295">
                  <c:v>7.376201683551991</c:v>
                </c:pt>
                <c:pt idx="296">
                  <c:v>7.6066671506058761</c:v>
                </c:pt>
                <c:pt idx="297">
                  <c:v>7.8731407422430433</c:v>
                </c:pt>
                <c:pt idx="298">
                  <c:v>8.162676296819356</c:v>
                </c:pt>
                <c:pt idx="299">
                  <c:v>8.4601791440431651</c:v>
                </c:pt>
                <c:pt idx="300">
                  <c:v>8.7500000000000036</c:v>
                </c:pt>
                <c:pt idx="301">
                  <c:v>9.0175031061222199</c:v>
                </c:pt>
                <c:pt idx="302">
                  <c:v>9.2505014226680711</c:v>
                </c:pt>
                <c:pt idx="303">
                  <c:v>9.4404459477364409</c:v>
                </c:pt>
                <c:pt idx="304">
                  <c:v>9.5832639852467825</c:v>
                </c:pt>
                <c:pt idx="305">
                  <c:v>9.6797535731088029</c:v>
                </c:pt>
                <c:pt idx="306">
                  <c:v>9.7354458642069162</c:v>
                </c:pt>
                <c:pt idx="307">
                  <c:v>9.7598151920382197</c:v>
                </c:pt>
                <c:pt idx="308">
                  <c:v>9.7645619859460258</c:v>
                </c:pt>
                <c:pt idx="309">
                  <c:v>9.7601177399902301</c:v>
                </c:pt>
                <c:pt idx="310">
                  <c:v>9.747506301341188</c:v>
                </c:pt>
                <c:pt idx="311">
                  <c:v>9.7053630492383416</c:v>
                </c:pt>
                <c:pt idx="312">
                  <c:v>10.371524398562205</c:v>
                </c:pt>
                <c:pt idx="313">
                  <c:v>12.139255516225568</c:v>
                </c:pt>
                <c:pt idx="314">
                  <c:v>12.436729069803791</c:v>
                </c:pt>
                <c:pt idx="315">
                  <c:v>12.516975749355268</c:v>
                </c:pt>
                <c:pt idx="316">
                  <c:v>12.584932486110377</c:v>
                </c:pt>
                <c:pt idx="317">
                  <c:v>12.685666846123398</c:v>
                </c:pt>
                <c:pt idx="318">
                  <c:v>12.830300068460645</c:v>
                </c:pt>
                <c:pt idx="319">
                  <c:v>13.016828956530189</c:v>
                </c:pt>
                <c:pt idx="320">
                  <c:v>13.236172524539271</c:v>
                </c:pt>
                <c:pt idx="321">
                  <c:v>13.475108347170728</c:v>
                </c:pt>
                <c:pt idx="322">
                  <c:v>13.718394570757368</c:v>
                </c:pt>
                <c:pt idx="323">
                  <c:v>13.950609632238809</c:v>
                </c:pt>
                <c:pt idx="324">
                  <c:v>14.157797401561579</c:v>
                </c:pt>
                <c:pt idx="325">
                  <c:v>14.328874293099517</c:v>
                </c:pt>
                <c:pt idx="326">
                  <c:v>14.45671883151569</c:v>
                </c:pt>
                <c:pt idx="327">
                  <c:v>14.53886338438388</c:v>
                </c:pt>
                <c:pt idx="328">
                  <c:v>14.577720317540397</c:v>
                </c:pt>
                <c:pt idx="329">
                  <c:v>14.580286359344409</c:v>
                </c:pt>
                <c:pt idx="330">
                  <c:v>14.557258593419435</c:v>
                </c:pt>
                <c:pt idx="331">
                  <c:v>14.521411194317384</c:v>
                </c:pt>
                <c:pt idx="332">
                  <c:v>14.484752487931587</c:v>
                </c:pt>
                <c:pt idx="333">
                  <c:v>14.452709730294123</c:v>
                </c:pt>
                <c:pt idx="334">
                  <c:v>14.407830420775005</c:v>
                </c:pt>
                <c:pt idx="335">
                  <c:v>14.24586917098585</c:v>
                </c:pt>
                <c:pt idx="336">
                  <c:v>14.159954593460297</c:v>
                </c:pt>
                <c:pt idx="337">
                  <c:v>15.577982667159235</c:v>
                </c:pt>
                <c:pt idx="338">
                  <c:v>15.879690822446815</c:v>
                </c:pt>
                <c:pt idx="339">
                  <c:v>15.961588126164587</c:v>
                </c:pt>
                <c:pt idx="340">
                  <c:v>16.028392422085663</c:v>
                </c:pt>
                <c:pt idx="341">
                  <c:v>16.122782877361665</c:v>
                </c:pt>
                <c:pt idx="342">
                  <c:v>16.251128437750982</c:v>
                </c:pt>
                <c:pt idx="343">
                  <c:v>16.406728248745662</c:v>
                </c:pt>
                <c:pt idx="344">
                  <c:v>16.577023422127443</c:v>
                </c:pt>
                <c:pt idx="345">
                  <c:v>16.747107301356394</c:v>
                </c:pt>
                <c:pt idx="346">
                  <c:v>16.902077795709253</c:v>
                </c:pt>
                <c:pt idx="347">
                  <c:v>17.028852977710596</c:v>
                </c:pt>
                <c:pt idx="348">
                  <c:v>17.1175830128416</c:v>
                </c:pt>
                <c:pt idx="349">
                  <c:v>17.16265294106358</c:v>
                </c:pt>
                <c:pt idx="350">
                  <c:v>17.163238219226741</c:v>
                </c:pt>
                <c:pt idx="351">
                  <c:v>17.123379260444004</c:v>
                </c:pt>
                <c:pt idx="352">
                  <c:v>17.051556372499782</c:v>
                </c:pt>
                <c:pt idx="353">
                  <c:v>16.959755176306114</c:v>
                </c:pt>
                <c:pt idx="354">
                  <c:v>16.861989063287162</c:v>
                </c:pt>
                <c:pt idx="355">
                  <c:v>16.772123278219915</c:v>
                </c:pt>
                <c:pt idx="356">
                  <c:v>16.700397694908503</c:v>
                </c:pt>
                <c:pt idx="357">
                  <c:v>16.646296909484203</c:v>
                </c:pt>
                <c:pt idx="358">
                  <c:v>16.576909769426585</c:v>
                </c:pt>
                <c:pt idx="359">
                  <c:v>16.323135093411452</c:v>
                </c:pt>
                <c:pt idx="360">
                  <c:v>15.5</c:v>
                </c:pt>
              </c:numCache>
            </c:numRef>
          </c:xVal>
          <c:yVal>
            <c:numRef>
              <c:f>사이클로이드!$G$2:$G$362</c:f>
              <c:numCache>
                <c:formatCode>General</c:formatCode>
                <c:ptCount val="361"/>
                <c:pt idx="0">
                  <c:v>0</c:v>
                </c:pt>
                <c:pt idx="1">
                  <c:v>-1.6375626819602123</c:v>
                </c:pt>
                <c:pt idx="2">
                  <c:v>-1.8093530872229746</c:v>
                </c:pt>
                <c:pt idx="3">
                  <c:v>-1.8548591841395401</c:v>
                </c:pt>
                <c:pt idx="4">
                  <c:v>-1.8975914273187307</c:v>
                </c:pt>
                <c:pt idx="5">
                  <c:v>-1.9685608738549814</c:v>
                </c:pt>
                <c:pt idx="6">
                  <c:v>-2.0822685553018534</c:v>
                </c:pt>
                <c:pt idx="7">
                  <c:v>-2.2452389285477796</c:v>
                </c:pt>
                <c:pt idx="8">
                  <c:v>-2.457736644365303</c:v>
                </c:pt>
                <c:pt idx="9">
                  <c:v>-2.7145868887954867</c:v>
                </c:pt>
                <c:pt idx="10">
                  <c:v>-3.0060716262265119</c:v>
                </c:pt>
                <c:pt idx="11">
                  <c:v>-3.3190748000886483</c:v>
                </c:pt>
                <c:pt idx="12">
                  <c:v>-3.6384545893107885</c:v>
                </c:pt>
                <c:pt idx="13">
                  <c:v>-3.9485541363262016</c:v>
                </c:pt>
                <c:pt idx="14">
                  <c:v>-4.2347348181110238</c:v>
                </c:pt>
                <c:pt idx="15">
                  <c:v>-4.4848072768714946</c:v>
                </c:pt>
                <c:pt idx="16">
                  <c:v>-4.6902386506266396</c:v>
                </c:pt>
                <c:pt idx="17">
                  <c:v>-4.8470260633010112</c:v>
                </c:pt>
                <c:pt idx="18">
                  <c:v>-4.9561418468942495</c:v>
                </c:pt>
                <c:pt idx="19">
                  <c:v>-5.0234672750334841</c:v>
                </c:pt>
                <c:pt idx="20">
                  <c:v>-5.0591276675693493</c:v>
                </c:pt>
                <c:pt idx="21">
                  <c:v>-5.0761607423693329</c:v>
                </c:pt>
                <c:pt idx="22">
                  <c:v>-5.0895103380828406</c:v>
                </c:pt>
                <c:pt idx="23">
                  <c:v>-5.1432292226571716</c:v>
                </c:pt>
                <c:pt idx="24">
                  <c:v>-6.3044179676749108</c:v>
                </c:pt>
                <c:pt idx="25">
                  <c:v>-8.1352051220767443</c:v>
                </c:pt>
                <c:pt idx="26">
                  <c:v>-8.3953629262911722</c:v>
                </c:pt>
                <c:pt idx="27">
                  <c:v>-8.465157106844007</c:v>
                </c:pt>
                <c:pt idx="28">
                  <c:v>-8.5261997253464834</c:v>
                </c:pt>
                <c:pt idx="29">
                  <c:v>-8.62020696383982</c:v>
                </c:pt>
                <c:pt idx="30">
                  <c:v>-8.7606358074703081</c:v>
                </c:pt>
                <c:pt idx="31">
                  <c:v>-8.9492817122953401</c:v>
                </c:pt>
                <c:pt idx="32">
                  <c:v>-9.1807469457100215</c:v>
                </c:pt>
                <c:pt idx="33">
                  <c:v>-9.4446043201420498</c:v>
                </c:pt>
                <c:pt idx="34">
                  <c:v>-9.7271009770860992</c:v>
                </c:pt>
                <c:pt idx="35">
                  <c:v>-10.012805550720216</c:v>
                </c:pt>
                <c:pt idx="36">
                  <c:v>-10.286241915118282</c:v>
                </c:pt>
                <c:pt idx="37">
                  <c:v>-10.533442191082056</c:v>
                </c:pt>
                <c:pt idx="38">
                  <c:v>-10.743317141039096</c:v>
                </c:pt>
                <c:pt idx="39">
                  <c:v>-10.908737521172361</c:v>
                </c:pt>
                <c:pt idx="40">
                  <c:v>-11.027229073444758</c:v>
                </c:pt>
                <c:pt idx="41">
                  <c:v>-11.101196214955653</c:v>
                </c:pt>
                <c:pt idx="42">
                  <c:v>-11.137590298627162</c:v>
                </c:pt>
                <c:pt idx="43">
                  <c:v>-11.146892295301166</c:v>
                </c:pt>
                <c:pt idx="44">
                  <c:v>-11.141077628002702</c:v>
                </c:pt>
                <c:pt idx="45">
                  <c:v>-11.129466361049934</c:v>
                </c:pt>
                <c:pt idx="46">
                  <c:v>-11.108351189184249</c:v>
                </c:pt>
                <c:pt idx="47">
                  <c:v>-11.034710069906499</c:v>
                </c:pt>
                <c:pt idx="48">
                  <c:v>-11.518744794899622</c:v>
                </c:pt>
                <c:pt idx="49">
                  <c:v>-13.22619669056785</c:v>
                </c:pt>
                <c:pt idx="50">
                  <c:v>-13.529738245925811</c:v>
                </c:pt>
                <c:pt idx="51">
                  <c:v>-13.61175246223711</c:v>
                </c:pt>
                <c:pt idx="52">
                  <c:v>-13.680550632769011</c:v>
                </c:pt>
                <c:pt idx="53">
                  <c:v>-13.781340957654983</c:v>
                </c:pt>
                <c:pt idx="54">
                  <c:v>-13.924209540649388</c:v>
                </c:pt>
                <c:pt idx="55">
                  <c:v>-14.10591238631503</c:v>
                </c:pt>
                <c:pt idx="56">
                  <c:v>-14.316322695673842</c:v>
                </c:pt>
                <c:pt idx="57">
                  <c:v>-14.541563862999421</c:v>
                </c:pt>
                <c:pt idx="58">
                  <c:v>-14.766226201069305</c:v>
                </c:pt>
                <c:pt idx="59">
                  <c:v>-14.975231258149506</c:v>
                </c:pt>
                <c:pt idx="60">
                  <c:v>-15.155444566227674</c:v>
                </c:pt>
                <c:pt idx="61">
                  <c:v>-15.297002397681673</c:v>
                </c:pt>
                <c:pt idx="62">
                  <c:v>-15.394282330309291</c:v>
                </c:pt>
                <c:pt idx="63">
                  <c:v>-15.446447945293333</c:v>
                </c:pt>
                <c:pt idx="64">
                  <c:v>-15.457511410233135</c:v>
                </c:pt>
                <c:pt idx="65">
                  <c:v>-15.43586868984293</c:v>
                </c:pt>
                <c:pt idx="66">
                  <c:v>-15.393248205896031</c:v>
                </c:pt>
                <c:pt idx="67">
                  <c:v>-15.342918371373891</c:v>
                </c:pt>
                <c:pt idx="68">
                  <c:v>-15.296634053041592</c:v>
                </c:pt>
                <c:pt idx="69">
                  <c:v>-15.258386137877258</c:v>
                </c:pt>
                <c:pt idx="70">
                  <c:v>-15.206457203473271</c:v>
                </c:pt>
                <c:pt idx="71">
                  <c:v>-15.018189298875132</c:v>
                </c:pt>
                <c:pt idx="72">
                  <c:v>-14.741376002574874</c:v>
                </c:pt>
                <c:pt idx="73">
                  <c:v>-16.030258695034977</c:v>
                </c:pt>
                <c:pt idx="74">
                  <c:v>-16.324698909026623</c:v>
                </c:pt>
                <c:pt idx="75">
                  <c:v>-16.404752158020393</c:v>
                </c:pt>
                <c:pt idx="76">
                  <c:v>-16.469410051884992</c:v>
                </c:pt>
                <c:pt idx="77">
                  <c:v>-16.559555900339465</c:v>
                </c:pt>
                <c:pt idx="78">
                  <c:v>-16.680160946777718</c:v>
                </c:pt>
                <c:pt idx="79">
                  <c:v>-16.823502660549853</c:v>
                </c:pt>
                <c:pt idx="80">
                  <c:v>-16.976476191846999</c:v>
                </c:pt>
                <c:pt idx="81">
                  <c:v>-17.12415490798378</c:v>
                </c:pt>
                <c:pt idx="82">
                  <c:v>-17.252136767933948</c:v>
                </c:pt>
                <c:pt idx="83">
                  <c:v>-17.348303435339719</c:v>
                </c:pt>
                <c:pt idx="84">
                  <c:v>-17.404133168944782</c:v>
                </c:pt>
                <c:pt idx="85">
                  <c:v>-17.415571920818085</c:v>
                </c:pt>
                <c:pt idx="86">
                  <c:v>-17.383436252004518</c:v>
                </c:pt>
                <c:pt idx="87">
                  <c:v>-17.313327193098864</c:v>
                </c:pt>
                <c:pt idx="88">
                  <c:v>-17.215049597109552</c:v>
                </c:pt>
                <c:pt idx="89">
                  <c:v>-17.101539237791656</c:v>
                </c:pt>
                <c:pt idx="90">
                  <c:v>-16.987273655095709</c:v>
                </c:pt>
                <c:pt idx="91">
                  <c:v>-16.886014474998497</c:v>
                </c:pt>
                <c:pt idx="92">
                  <c:v>-16.80726348475185</c:v>
                </c:pt>
                <c:pt idx="93">
                  <c:v>-16.748992333379256</c:v>
                </c:pt>
                <c:pt idx="94">
                  <c:v>-16.675228620954975</c:v>
                </c:pt>
                <c:pt idx="95">
                  <c:v>-16.40488716210168</c:v>
                </c:pt>
                <c:pt idx="96">
                  <c:v>-15.415089378208233</c:v>
                </c:pt>
                <c:pt idx="97">
                  <c:v>-16.062543340802161</c:v>
                </c:pt>
                <c:pt idx="98">
                  <c:v>-16.296970825522973</c:v>
                </c:pt>
                <c:pt idx="99">
                  <c:v>-16.361221173187257</c:v>
                </c:pt>
                <c:pt idx="100">
                  <c:v>-16.410558853136845</c:v>
                </c:pt>
                <c:pt idx="101">
                  <c:v>-16.474473189012713</c:v>
                </c:pt>
                <c:pt idx="102">
                  <c:v>-16.551960990703193</c:v>
                </c:pt>
                <c:pt idx="103">
                  <c:v>-16.632156488052033</c:v>
                </c:pt>
                <c:pt idx="104">
                  <c:v>-16.701242728005337</c:v>
                </c:pt>
                <c:pt idx="105">
                  <c:v>-16.74582400131424</c:v>
                </c:pt>
                <c:pt idx="106">
                  <c:v>-16.754996156880615</c:v>
                </c:pt>
                <c:pt idx="107">
                  <c:v>-16.721696344170759</c:v>
                </c:pt>
                <c:pt idx="108">
                  <c:v>-16.643489035165189</c:v>
                </c:pt>
                <c:pt idx="109">
                  <c:v>-16.522830843341094</c:v>
                </c:pt>
                <c:pt idx="110">
                  <c:v>-16.366836122167605</c:v>
                </c:pt>
                <c:pt idx="111">
                  <c:v>-16.186574882577844</c:v>
                </c:pt>
                <c:pt idx="112">
                  <c:v>-15.995949314829895</c:v>
                </c:pt>
                <c:pt idx="113">
                  <c:v>-15.810198288919615</c:v>
                </c:pt>
                <c:pt idx="114">
                  <c:v>-15.644045164792987</c:v>
                </c:pt>
                <c:pt idx="115">
                  <c:v>-15.509365271270271</c:v>
                </c:pt>
                <c:pt idx="116">
                  <c:v>-15.411764370753206</c:v>
                </c:pt>
                <c:pt idx="117">
                  <c:v>-15.343545594621478</c:v>
                </c:pt>
                <c:pt idx="118">
                  <c:v>-15.260701520177349</c:v>
                </c:pt>
                <c:pt idx="119">
                  <c:v>-14.955031001279689</c:v>
                </c:pt>
                <c:pt idx="120">
                  <c:v>-13.423393758658829</c:v>
                </c:pt>
                <c:pt idx="121">
                  <c:v>-13.317468319319479</c:v>
                </c:pt>
                <c:pt idx="122">
                  <c:v>-13.451348432954376</c:v>
                </c:pt>
                <c:pt idx="123">
                  <c:v>-13.488686410481936</c:v>
                </c:pt>
                <c:pt idx="124">
                  <c:v>-13.514172943434478</c:v>
                </c:pt>
                <c:pt idx="125">
                  <c:v>-13.54080439741529</c:v>
                </c:pt>
                <c:pt idx="126">
                  <c:v>-13.561776609491131</c:v>
                </c:pt>
                <c:pt idx="127">
                  <c:v>-13.564959360371837</c:v>
                </c:pt>
                <c:pt idx="128">
                  <c:v>-13.53821267046459</c:v>
                </c:pt>
                <c:pt idx="129">
                  <c:v>-13.471987993782356</c:v>
                </c:pt>
                <c:pt idx="130">
                  <c:v>-13.360764495941092</c:v>
                </c:pt>
                <c:pt idx="131">
                  <c:v>-13.203756043252449</c:v>
                </c:pt>
                <c:pt idx="132">
                  <c:v>-13.005034445854399</c:v>
                </c:pt>
                <c:pt idx="133">
                  <c:v>-12.773142207844561</c:v>
                </c:pt>
                <c:pt idx="134">
                  <c:v>-12.520261338769586</c:v>
                </c:pt>
                <c:pt idx="135">
                  <c:v>-12.261016724442747</c:v>
                </c:pt>
                <c:pt idx="136">
                  <c:v>-12.011004077378693</c:v>
                </c:pt>
                <c:pt idx="137">
                  <c:v>-11.785130424751024</c:v>
                </c:pt>
                <c:pt idx="138">
                  <c:v>-11.595819143808944</c:v>
                </c:pt>
                <c:pt idx="139">
                  <c:v>-11.451005913979225</c:v>
                </c:pt>
                <c:pt idx="140">
                  <c:v>-11.351431185567501</c:v>
                </c:pt>
                <c:pt idx="141">
                  <c:v>-11.285060430817925</c:v>
                </c:pt>
                <c:pt idx="142">
                  <c:v>-11.207460487440132</c:v>
                </c:pt>
                <c:pt idx="143">
                  <c:v>-10.919314118144984</c:v>
                </c:pt>
                <c:pt idx="144">
                  <c:v>-9.1106714105333495</c:v>
                </c:pt>
                <c:pt idx="145">
                  <c:v>-8.2696820400249376</c:v>
                </c:pt>
                <c:pt idx="146">
                  <c:v>-8.2798656946638047</c:v>
                </c:pt>
                <c:pt idx="147">
                  <c:v>-8.2838352265352491</c:v>
                </c:pt>
                <c:pt idx="148">
                  <c:v>-8.2810637594053631</c:v>
                </c:pt>
                <c:pt idx="149">
                  <c:v>-8.2658075111586733</c:v>
                </c:pt>
                <c:pt idx="150">
                  <c:v>-8.2266378476254012</c:v>
                </c:pt>
                <c:pt idx="151">
                  <c:v>-8.1522575254963137</c:v>
                </c:pt>
                <c:pt idx="152">
                  <c:v>-8.0343026513995266</c:v>
                </c:pt>
                <c:pt idx="153">
                  <c:v>-7.8687228729568162</c:v>
                </c:pt>
                <c:pt idx="154">
                  <c:v>-7.6563352749184199</c:v>
                </c:pt>
                <c:pt idx="155">
                  <c:v>-7.402766370097865</c:v>
                </c:pt>
                <c:pt idx="156">
                  <c:v>-7.1178912538265067</c:v>
                </c:pt>
                <c:pt idx="157">
                  <c:v>-6.8148612442576626</c:v>
                </c:pt>
                <c:pt idx="158">
                  <c:v>-6.5088196268948586</c:v>
                </c:pt>
                <c:pt idx="159">
                  <c:v>-6.2154173868114153</c:v>
                </c:pt>
                <c:pt idx="160">
                  <c:v>-5.9492471184022495</c:v>
                </c:pt>
                <c:pt idx="161">
                  <c:v>-5.7223064455942012</c:v>
                </c:pt>
                <c:pt idx="162">
                  <c:v>-5.5425706481505568</c:v>
                </c:pt>
                <c:pt idx="163">
                  <c:v>-5.4126636050382979</c:v>
                </c:pt>
                <c:pt idx="164">
                  <c:v>-5.3283324238822916</c:v>
                </c:pt>
                <c:pt idx="165">
                  <c:v>-5.2752857969704561</c:v>
                </c:pt>
                <c:pt idx="166">
                  <c:v>-5.2163477198423713</c:v>
                </c:pt>
                <c:pt idx="167">
                  <c:v>-4.9955486251284809</c:v>
                </c:pt>
                <c:pt idx="168">
                  <c:v>-3.2226312076752914</c:v>
                </c:pt>
                <c:pt idx="169">
                  <c:v>-1.7919926083072797</c:v>
                </c:pt>
                <c:pt idx="170">
                  <c:v>-1.6767189575474575</c:v>
                </c:pt>
                <c:pt idx="171">
                  <c:v>-1.6466336756401461</c:v>
                </c:pt>
                <c:pt idx="172">
                  <c:v>-1.6160834202725831</c:v>
                </c:pt>
                <c:pt idx="173">
                  <c:v>-1.5615774137189073</c:v>
                </c:pt>
                <c:pt idx="174">
                  <c:v>-1.4690386652466449</c:v>
                </c:pt>
                <c:pt idx="175">
                  <c:v>-1.329956303527901</c:v>
                </c:pt>
                <c:pt idx="176">
                  <c:v>-1.1411887145592958</c:v>
                </c:pt>
                <c:pt idx="177">
                  <c:v>-0.90488408229391171</c:v>
                </c:pt>
                <c:pt idx="178">
                  <c:v>-0.62805612923999254</c:v>
                </c:pt>
                <c:pt idx="179">
                  <c:v>-0.3217711395321694</c:v>
                </c:pt>
                <c:pt idx="180">
                  <c:v>1.3473380397477364E-15</c:v>
                </c:pt>
                <c:pt idx="181">
                  <c:v>0.32177113953217229</c:v>
                </c:pt>
                <c:pt idx="182">
                  <c:v>0.62805612923998777</c:v>
                </c:pt>
                <c:pt idx="183">
                  <c:v>0.90488408229390827</c:v>
                </c:pt>
                <c:pt idx="184">
                  <c:v>1.1411887145592921</c:v>
                </c:pt>
                <c:pt idx="185">
                  <c:v>1.3299563035278981</c:v>
                </c:pt>
                <c:pt idx="186">
                  <c:v>1.4690386652466438</c:v>
                </c:pt>
                <c:pt idx="187">
                  <c:v>1.5615774137189065</c:v>
                </c:pt>
                <c:pt idx="188">
                  <c:v>1.6160834202725831</c:v>
                </c:pt>
                <c:pt idx="189">
                  <c:v>1.6466336756401461</c:v>
                </c:pt>
                <c:pt idx="190">
                  <c:v>1.6767189575474584</c:v>
                </c:pt>
                <c:pt idx="191">
                  <c:v>1.7919926083072752</c:v>
                </c:pt>
                <c:pt idx="192">
                  <c:v>3.2226312076753341</c:v>
                </c:pt>
                <c:pt idx="193">
                  <c:v>4.9955486251284738</c:v>
                </c:pt>
                <c:pt idx="194">
                  <c:v>5.2163477198423696</c:v>
                </c:pt>
                <c:pt idx="195">
                  <c:v>5.2752857969704561</c:v>
                </c:pt>
                <c:pt idx="196">
                  <c:v>5.3283324238822907</c:v>
                </c:pt>
                <c:pt idx="197">
                  <c:v>5.4126636050382979</c:v>
                </c:pt>
                <c:pt idx="198">
                  <c:v>5.5425706481505541</c:v>
                </c:pt>
                <c:pt idx="199">
                  <c:v>5.722306445594203</c:v>
                </c:pt>
                <c:pt idx="200">
                  <c:v>5.9492471184022451</c:v>
                </c:pt>
                <c:pt idx="201">
                  <c:v>6.2154173868114198</c:v>
                </c:pt>
                <c:pt idx="202">
                  <c:v>6.5088196268948542</c:v>
                </c:pt>
                <c:pt idx="203">
                  <c:v>6.8148612442576662</c:v>
                </c:pt>
                <c:pt idx="204">
                  <c:v>7.1178912538265022</c:v>
                </c:pt>
                <c:pt idx="205">
                  <c:v>7.4027663700978614</c:v>
                </c:pt>
                <c:pt idx="206">
                  <c:v>7.6563352749184217</c:v>
                </c:pt>
                <c:pt idx="207">
                  <c:v>7.8687228729568135</c:v>
                </c:pt>
                <c:pt idx="208">
                  <c:v>8.0343026513995284</c:v>
                </c:pt>
                <c:pt idx="209">
                  <c:v>8.1522575254963137</c:v>
                </c:pt>
                <c:pt idx="210">
                  <c:v>8.2266378476254012</c:v>
                </c:pt>
                <c:pt idx="211">
                  <c:v>8.2658075111586733</c:v>
                </c:pt>
                <c:pt idx="212">
                  <c:v>8.2810637594053631</c:v>
                </c:pt>
                <c:pt idx="213">
                  <c:v>8.2838352265352491</c:v>
                </c:pt>
                <c:pt idx="214">
                  <c:v>8.2798656946638047</c:v>
                </c:pt>
                <c:pt idx="215">
                  <c:v>8.2696820400249376</c:v>
                </c:pt>
                <c:pt idx="216">
                  <c:v>9.1106714105333122</c:v>
                </c:pt>
                <c:pt idx="217">
                  <c:v>10.919314118144992</c:v>
                </c:pt>
                <c:pt idx="218">
                  <c:v>11.20746048744013</c:v>
                </c:pt>
                <c:pt idx="219">
                  <c:v>11.285060430817925</c:v>
                </c:pt>
                <c:pt idx="220">
                  <c:v>11.351431185567495</c:v>
                </c:pt>
                <c:pt idx="221">
                  <c:v>11.451005913979223</c:v>
                </c:pt>
                <c:pt idx="222">
                  <c:v>11.595819143808942</c:v>
                </c:pt>
                <c:pt idx="223">
                  <c:v>11.785130424751021</c:v>
                </c:pt>
                <c:pt idx="224">
                  <c:v>12.011004077378699</c:v>
                </c:pt>
                <c:pt idx="225">
                  <c:v>12.261016724442745</c:v>
                </c:pt>
                <c:pt idx="226">
                  <c:v>12.520261338769595</c:v>
                </c:pt>
                <c:pt idx="227">
                  <c:v>12.773142207844558</c:v>
                </c:pt>
                <c:pt idx="228">
                  <c:v>13.005034445854401</c:v>
                </c:pt>
                <c:pt idx="229">
                  <c:v>13.203756043252444</c:v>
                </c:pt>
                <c:pt idx="230">
                  <c:v>13.360764495941091</c:v>
                </c:pt>
                <c:pt idx="231">
                  <c:v>13.471987993782355</c:v>
                </c:pt>
                <c:pt idx="232">
                  <c:v>13.538212670464592</c:v>
                </c:pt>
                <c:pt idx="233">
                  <c:v>13.564959360371835</c:v>
                </c:pt>
                <c:pt idx="234">
                  <c:v>13.561776609491133</c:v>
                </c:pt>
                <c:pt idx="235">
                  <c:v>13.54080439741529</c:v>
                </c:pt>
                <c:pt idx="236">
                  <c:v>13.514172943434476</c:v>
                </c:pt>
                <c:pt idx="237">
                  <c:v>13.488686410481936</c:v>
                </c:pt>
                <c:pt idx="238">
                  <c:v>13.451348432954378</c:v>
                </c:pt>
                <c:pt idx="239">
                  <c:v>13.317468319319481</c:v>
                </c:pt>
                <c:pt idx="240">
                  <c:v>13.423393758658735</c:v>
                </c:pt>
                <c:pt idx="241">
                  <c:v>14.955031001279707</c:v>
                </c:pt>
                <c:pt idx="242">
                  <c:v>15.260701520177353</c:v>
                </c:pt>
                <c:pt idx="243">
                  <c:v>15.343545594621478</c:v>
                </c:pt>
                <c:pt idx="244">
                  <c:v>15.411764370753207</c:v>
                </c:pt>
                <c:pt idx="245">
                  <c:v>15.509365271270276</c:v>
                </c:pt>
                <c:pt idx="246">
                  <c:v>15.644045164792987</c:v>
                </c:pt>
                <c:pt idx="247">
                  <c:v>15.810198288919615</c:v>
                </c:pt>
                <c:pt idx="248">
                  <c:v>15.99594931482989</c:v>
                </c:pt>
                <c:pt idx="249">
                  <c:v>16.18657488257784</c:v>
                </c:pt>
                <c:pt idx="250">
                  <c:v>16.366836122167609</c:v>
                </c:pt>
                <c:pt idx="251">
                  <c:v>16.52283084334109</c:v>
                </c:pt>
                <c:pt idx="252">
                  <c:v>16.643489035165185</c:v>
                </c:pt>
                <c:pt idx="253">
                  <c:v>16.721696344170759</c:v>
                </c:pt>
                <c:pt idx="254">
                  <c:v>16.754996156880619</c:v>
                </c:pt>
                <c:pt idx="255">
                  <c:v>16.74582400131424</c:v>
                </c:pt>
                <c:pt idx="256">
                  <c:v>16.701242728005337</c:v>
                </c:pt>
                <c:pt idx="257">
                  <c:v>16.632156488052033</c:v>
                </c:pt>
                <c:pt idx="258">
                  <c:v>16.551960990703193</c:v>
                </c:pt>
                <c:pt idx="259">
                  <c:v>16.474473189012709</c:v>
                </c:pt>
                <c:pt idx="260">
                  <c:v>16.410558853136845</c:v>
                </c:pt>
                <c:pt idx="261">
                  <c:v>16.361221173187257</c:v>
                </c:pt>
                <c:pt idx="262">
                  <c:v>16.296970825522976</c:v>
                </c:pt>
                <c:pt idx="263">
                  <c:v>16.062543340802151</c:v>
                </c:pt>
                <c:pt idx="264">
                  <c:v>15.415089378208243</c:v>
                </c:pt>
                <c:pt idx="265">
                  <c:v>16.40488716210168</c:v>
                </c:pt>
                <c:pt idx="266">
                  <c:v>16.675228620954972</c:v>
                </c:pt>
                <c:pt idx="267">
                  <c:v>16.748992333379256</c:v>
                </c:pt>
                <c:pt idx="268">
                  <c:v>16.80726348475185</c:v>
                </c:pt>
                <c:pt idx="269">
                  <c:v>16.88601447499849</c:v>
                </c:pt>
                <c:pt idx="270">
                  <c:v>16.987273655095709</c:v>
                </c:pt>
                <c:pt idx="271">
                  <c:v>17.101539237791656</c:v>
                </c:pt>
                <c:pt idx="272">
                  <c:v>17.215049597109555</c:v>
                </c:pt>
                <c:pt idx="273">
                  <c:v>17.313327193098868</c:v>
                </c:pt>
                <c:pt idx="274">
                  <c:v>17.383436252004522</c:v>
                </c:pt>
                <c:pt idx="275">
                  <c:v>17.415571920818081</c:v>
                </c:pt>
                <c:pt idx="276">
                  <c:v>17.404133168944782</c:v>
                </c:pt>
                <c:pt idx="277">
                  <c:v>17.348303435339719</c:v>
                </c:pt>
                <c:pt idx="278">
                  <c:v>17.252136767933951</c:v>
                </c:pt>
                <c:pt idx="279">
                  <c:v>17.12415490798378</c:v>
                </c:pt>
                <c:pt idx="280">
                  <c:v>16.976476191847009</c:v>
                </c:pt>
                <c:pt idx="281">
                  <c:v>16.823502660549856</c:v>
                </c:pt>
                <c:pt idx="282">
                  <c:v>16.680160946777718</c:v>
                </c:pt>
                <c:pt idx="283">
                  <c:v>16.559555900339461</c:v>
                </c:pt>
                <c:pt idx="284">
                  <c:v>16.469410051884992</c:v>
                </c:pt>
                <c:pt idx="285">
                  <c:v>16.404752158020401</c:v>
                </c:pt>
                <c:pt idx="286">
                  <c:v>16.324698909026619</c:v>
                </c:pt>
                <c:pt idx="287">
                  <c:v>16.03025869503497</c:v>
                </c:pt>
                <c:pt idx="288">
                  <c:v>14.741376002574892</c:v>
                </c:pt>
                <c:pt idx="289">
                  <c:v>15.018189298875118</c:v>
                </c:pt>
                <c:pt idx="290">
                  <c:v>15.206457203473272</c:v>
                </c:pt>
                <c:pt idx="291">
                  <c:v>15.25838613787726</c:v>
                </c:pt>
                <c:pt idx="292">
                  <c:v>15.29663405304159</c:v>
                </c:pt>
                <c:pt idx="293">
                  <c:v>15.342918371373891</c:v>
                </c:pt>
                <c:pt idx="294">
                  <c:v>15.393248205896029</c:v>
                </c:pt>
                <c:pt idx="295">
                  <c:v>15.435868689842932</c:v>
                </c:pt>
                <c:pt idx="296">
                  <c:v>15.457511410233135</c:v>
                </c:pt>
                <c:pt idx="297">
                  <c:v>15.446447945293334</c:v>
                </c:pt>
                <c:pt idx="298">
                  <c:v>15.394282330309295</c:v>
                </c:pt>
                <c:pt idx="299">
                  <c:v>15.297002397681675</c:v>
                </c:pt>
                <c:pt idx="300">
                  <c:v>15.155444566227674</c:v>
                </c:pt>
                <c:pt idx="301">
                  <c:v>14.975231258149504</c:v>
                </c:pt>
                <c:pt idx="302">
                  <c:v>14.766226201069305</c:v>
                </c:pt>
                <c:pt idx="303">
                  <c:v>14.541563862999432</c:v>
                </c:pt>
                <c:pt idx="304">
                  <c:v>14.316322695673842</c:v>
                </c:pt>
                <c:pt idx="305">
                  <c:v>14.105912386315032</c:v>
                </c:pt>
                <c:pt idx="306">
                  <c:v>13.924209540649386</c:v>
                </c:pt>
                <c:pt idx="307">
                  <c:v>13.781340957654981</c:v>
                </c:pt>
                <c:pt idx="308">
                  <c:v>13.680550632769002</c:v>
                </c:pt>
                <c:pt idx="309">
                  <c:v>13.611752462237114</c:v>
                </c:pt>
                <c:pt idx="310">
                  <c:v>13.529738245925811</c:v>
                </c:pt>
                <c:pt idx="311">
                  <c:v>13.226196690567862</c:v>
                </c:pt>
                <c:pt idx="312">
                  <c:v>11.5187447948997</c:v>
                </c:pt>
                <c:pt idx="313">
                  <c:v>11.034710069906499</c:v>
                </c:pt>
                <c:pt idx="314">
                  <c:v>11.108351189184251</c:v>
                </c:pt>
                <c:pt idx="315">
                  <c:v>11.129466361049936</c:v>
                </c:pt>
                <c:pt idx="316">
                  <c:v>11.141077628002702</c:v>
                </c:pt>
                <c:pt idx="317">
                  <c:v>11.146892295301166</c:v>
                </c:pt>
                <c:pt idx="318">
                  <c:v>11.137590298627162</c:v>
                </c:pt>
                <c:pt idx="319">
                  <c:v>11.101196214955651</c:v>
                </c:pt>
                <c:pt idx="320">
                  <c:v>11.027229073444763</c:v>
                </c:pt>
                <c:pt idx="321">
                  <c:v>10.908737521172366</c:v>
                </c:pt>
                <c:pt idx="322">
                  <c:v>10.743317141039094</c:v>
                </c:pt>
                <c:pt idx="323">
                  <c:v>10.533442191082054</c:v>
                </c:pt>
                <c:pt idx="324">
                  <c:v>10.286241915118282</c:v>
                </c:pt>
                <c:pt idx="325">
                  <c:v>10.01280555072022</c:v>
                </c:pt>
                <c:pt idx="326">
                  <c:v>9.7271009770860957</c:v>
                </c:pt>
                <c:pt idx="327">
                  <c:v>9.4446043201420498</c:v>
                </c:pt>
                <c:pt idx="328">
                  <c:v>9.1807469457100233</c:v>
                </c:pt>
                <c:pt idx="329">
                  <c:v>8.9492817122953419</c:v>
                </c:pt>
                <c:pt idx="330">
                  <c:v>8.7606358074703117</c:v>
                </c:pt>
                <c:pt idx="331">
                  <c:v>8.6202069638398129</c:v>
                </c:pt>
                <c:pt idx="332">
                  <c:v>8.526199725346487</c:v>
                </c:pt>
                <c:pt idx="333">
                  <c:v>8.4651571068440088</c:v>
                </c:pt>
                <c:pt idx="334">
                  <c:v>8.395362926291174</c:v>
                </c:pt>
                <c:pt idx="335">
                  <c:v>8.1352051220767407</c:v>
                </c:pt>
                <c:pt idx="336">
                  <c:v>6.3044179676749437</c:v>
                </c:pt>
                <c:pt idx="337">
                  <c:v>5.1432292226571761</c:v>
                </c:pt>
                <c:pt idx="338">
                  <c:v>5.0895103380828415</c:v>
                </c:pt>
                <c:pt idx="339">
                  <c:v>5.0761607423693338</c:v>
                </c:pt>
                <c:pt idx="340">
                  <c:v>5.0591276675693493</c:v>
                </c:pt>
                <c:pt idx="341">
                  <c:v>5.0234672750334823</c:v>
                </c:pt>
                <c:pt idx="342">
                  <c:v>4.9561418468942495</c:v>
                </c:pt>
                <c:pt idx="343">
                  <c:v>4.8470260633010174</c:v>
                </c:pt>
                <c:pt idx="344">
                  <c:v>4.6902386506266396</c:v>
                </c:pt>
                <c:pt idx="345">
                  <c:v>4.4848072768714946</c:v>
                </c:pt>
                <c:pt idx="346">
                  <c:v>4.2347348181110247</c:v>
                </c:pt>
                <c:pt idx="347">
                  <c:v>3.9485541363262047</c:v>
                </c:pt>
                <c:pt idx="348">
                  <c:v>3.6384545893107934</c:v>
                </c:pt>
                <c:pt idx="349">
                  <c:v>3.3190748000886514</c:v>
                </c:pt>
                <c:pt idx="350">
                  <c:v>3.0060716262265177</c:v>
                </c:pt>
                <c:pt idx="351">
                  <c:v>2.714586888795492</c:v>
                </c:pt>
                <c:pt idx="352">
                  <c:v>2.457736644365307</c:v>
                </c:pt>
                <c:pt idx="353">
                  <c:v>2.2452389285477738</c:v>
                </c:pt>
                <c:pt idx="354">
                  <c:v>2.0822685553018485</c:v>
                </c:pt>
                <c:pt idx="355">
                  <c:v>1.9685608738549858</c:v>
                </c:pt>
                <c:pt idx="356">
                  <c:v>1.8975914273187326</c:v>
                </c:pt>
                <c:pt idx="357">
                  <c:v>1.854859184139541</c:v>
                </c:pt>
                <c:pt idx="358">
                  <c:v>1.8093530872229739</c:v>
                </c:pt>
                <c:pt idx="359">
                  <c:v>1.6375626819602189</c:v>
                </c:pt>
                <c:pt idx="360">
                  <c:v>1.386783483187104E-13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4-4084-8747-AEE6F4B2B1F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사이클로이드!$H$2:$H$362</c:f>
              <c:numCache>
                <c:formatCode>General</c:formatCode>
                <c:ptCount val="361"/>
                <c:pt idx="0">
                  <c:v>18.5</c:v>
                </c:pt>
                <c:pt idx="1">
                  <c:v>18.497182360393239</c:v>
                </c:pt>
                <c:pt idx="2">
                  <c:v>18.488730299853273</c:v>
                </c:pt>
                <c:pt idx="3">
                  <c:v>18.474646392959617</c:v>
                </c:pt>
                <c:pt idx="4">
                  <c:v>18.454934929806747</c:v>
                </c:pt>
                <c:pt idx="5">
                  <c:v>18.429601914697294</c:v>
                </c:pt>
                <c:pt idx="6">
                  <c:v>18.398655064313054</c:v>
                </c:pt>
                <c:pt idx="7">
                  <c:v>18.362103805364455</c:v>
                </c:pt>
                <c:pt idx="8">
                  <c:v>18.319959271719053</c:v>
                </c:pt>
                <c:pt idx="9">
                  <c:v>18.272234301010048</c:v>
                </c:pt>
                <c:pt idx="10">
                  <c:v>18.218943430725847</c:v>
                </c:pt>
                <c:pt idx="11">
                  <c:v>18.160102893781783</c:v>
                </c:pt>
                <c:pt idx="12">
                  <c:v>18.095730613575405</c:v>
                </c:pt>
                <c:pt idx="13">
                  <c:v>18.025846198526853</c:v>
                </c:pt>
                <c:pt idx="14">
                  <c:v>17.950470936105933</c:v>
                </c:pt>
                <c:pt idx="15">
                  <c:v>17.869627786347763</c:v>
                </c:pt>
                <c:pt idx="16">
                  <c:v>17.7833413748589</c:v>
                </c:pt>
                <c:pt idx="17">
                  <c:v>17.691637985316156</c:v>
                </c:pt>
                <c:pt idx="18">
                  <c:v>17.594545551460339</c:v>
                </c:pt>
                <c:pt idx="19">
                  <c:v>17.49209364858736</c:v>
                </c:pt>
                <c:pt idx="20">
                  <c:v>17.384313484539305</c:v>
                </c:pt>
                <c:pt idx="21">
                  <c:v>17.271237890198233</c:v>
                </c:pt>
                <c:pt idx="22">
                  <c:v>17.152901309485568</c:v>
                </c:pt>
                <c:pt idx="23">
                  <c:v>17.029339788870146</c:v>
                </c:pt>
                <c:pt idx="24">
                  <c:v>16.900590966388116</c:v>
                </c:pt>
                <c:pt idx="25">
                  <c:v>16.766694060178025</c:v>
                </c:pt>
                <c:pt idx="26">
                  <c:v>16.627689856534591</c:v>
                </c:pt>
                <c:pt idx="27">
                  <c:v>16.483620697484806</c:v>
                </c:pt>
                <c:pt idx="28">
                  <c:v>16.334530467890151</c:v>
                </c:pt>
                <c:pt idx="29">
                  <c:v>16.18046458207882</c:v>
                </c:pt>
                <c:pt idx="30">
                  <c:v>16.021469970012117</c:v>
                </c:pt>
                <c:pt idx="31">
                  <c:v>15.857595062989079</c:v>
                </c:pt>
                <c:pt idx="32">
                  <c:v>15.688889778893881</c:v>
                </c:pt>
                <c:pt idx="33">
                  <c:v>15.515405506990344</c:v>
                </c:pt>
                <c:pt idx="34">
                  <c:v>15.337195092268271</c:v>
                </c:pt>
                <c:pt idx="35">
                  <c:v>15.154312819346348</c:v>
                </c:pt>
                <c:pt idx="36">
                  <c:v>14.966814395936527</c:v>
                </c:pt>
                <c:pt idx="37">
                  <c:v>14.774756935874917</c:v>
                </c:pt>
                <c:pt idx="38">
                  <c:v>14.578198941724356</c:v>
                </c:pt>
                <c:pt idx="39">
                  <c:v>14.377200286953961</c:v>
                </c:pt>
                <c:pt idx="40">
                  <c:v>14.171822197701093</c:v>
                </c:pt>
                <c:pt idx="41">
                  <c:v>13.962127234121283</c:v>
                </c:pt>
                <c:pt idx="42">
                  <c:v>13.748179271331793</c:v>
                </c:pt>
                <c:pt idx="43">
                  <c:v>13.530043479954653</c:v>
                </c:pt>
                <c:pt idx="44">
                  <c:v>13.307786306265047</c:v>
                </c:pt>
                <c:pt idx="45">
                  <c:v>13.08147545195113</c:v>
                </c:pt>
                <c:pt idx="46">
                  <c:v>12.851179853491448</c:v>
                </c:pt>
                <c:pt idx="47">
                  <c:v>12.616969661156222</c:v>
                </c:pt>
                <c:pt idx="48">
                  <c:v>12.378916217638878</c:v>
                </c:pt>
                <c:pt idx="49">
                  <c:v>12.137092036324384</c:v>
                </c:pt>
                <c:pt idx="50">
                  <c:v>11.891570779200979</c:v>
                </c:pt>
                <c:pt idx="51">
                  <c:v>11.642427234421994</c:v>
                </c:pt>
                <c:pt idx="52">
                  <c:v>11.389737293524679</c:v>
                </c:pt>
                <c:pt idx="53">
                  <c:v>11.133577928312896</c:v>
                </c:pt>
                <c:pt idx="54">
                  <c:v>10.874027167410754</c:v>
                </c:pt>
                <c:pt idx="55">
                  <c:v>10.611164072494354</c:v>
                </c:pt>
                <c:pt idx="56">
                  <c:v>10.345068714208816</c:v>
                </c:pt>
                <c:pt idx="57">
                  <c:v>10.075822147778002</c:v>
                </c:pt>
                <c:pt idx="58">
                  <c:v>9.8035063883142914</c:v>
                </c:pt>
                <c:pt idx="59">
                  <c:v>9.5282043858360019</c:v>
                </c:pt>
                <c:pt idx="60">
                  <c:v>9.2500000000000018</c:v>
                </c:pt>
                <c:pt idx="61">
                  <c:v>8.9689779745572373</c:v>
                </c:pt>
                <c:pt idx="62">
                  <c:v>8.6852239115389818</c:v>
                </c:pt>
                <c:pt idx="63">
                  <c:v>8.3988242451816166</c:v>
                </c:pt>
                <c:pt idx="64">
                  <c:v>8.1098662155979326</c:v>
                </c:pt>
                <c:pt idx="65">
                  <c:v>7.8184378422029397</c:v>
                </c:pt>
                <c:pt idx="66">
                  <c:v>7.5246278969023042</c:v>
                </c:pt>
                <c:pt idx="67">
                  <c:v>7.2285258770515641</c:v>
                </c:pt>
                <c:pt idx="68">
                  <c:v>6.9302219781943712</c:v>
                </c:pt>
                <c:pt idx="69">
                  <c:v>6.6298070665880573</c:v>
                </c:pt>
                <c:pt idx="70">
                  <c:v>6.3273726515248736</c:v>
                </c:pt>
                <c:pt idx="71">
                  <c:v>6.0230108574574004</c:v>
                </c:pt>
                <c:pt idx="72">
                  <c:v>5.7168143959365274</c:v>
                </c:pt>
                <c:pt idx="73">
                  <c:v>5.40887653737063</c:v>
                </c:pt>
                <c:pt idx="74">
                  <c:v>5.0992910826144842</c:v>
                </c:pt>
                <c:pt idx="75">
                  <c:v>4.7881523343966332</c:v>
                </c:pt>
                <c:pt idx="76">
                  <c:v>4.4755550685938523</c:v>
                </c:pt>
                <c:pt idx="77">
                  <c:v>4.1615945053615011</c:v>
                </c:pt>
                <c:pt idx="78">
                  <c:v>3.8463662801285499</c:v>
                </c:pt>
                <c:pt idx="79">
                  <c:v>3.5299664144660809</c:v>
                </c:pt>
                <c:pt idx="80">
                  <c:v>3.2124912868382127</c:v>
                </c:pt>
                <c:pt idx="81">
                  <c:v>2.8940376032442723</c:v>
                </c:pt>
                <c:pt idx="82">
                  <c:v>2.5747023677612111</c:v>
                </c:pt>
                <c:pt idx="83">
                  <c:v>2.2545828529952288</c:v>
                </c:pt>
                <c:pt idx="84">
                  <c:v>1.933776570451589</c:v>
                </c:pt>
                <c:pt idx="85">
                  <c:v>1.6123812408316756</c:v>
                </c:pt>
                <c:pt idx="86">
                  <c:v>1.2904947642663167</c:v>
                </c:pt>
                <c:pt idx="87">
                  <c:v>0.96821519049446336</c:v>
                </c:pt>
                <c:pt idx="88">
                  <c:v>0.64564068899627003</c:v>
                </c:pt>
                <c:pt idx="89">
                  <c:v>0.32286951908974659</c:v>
                </c:pt>
                <c:pt idx="90">
                  <c:v>1.1332623207904735E-15</c:v>
                </c:pt>
                <c:pt idx="91">
                  <c:v>-0.32286951908974432</c:v>
                </c:pt>
                <c:pt idx="92">
                  <c:v>-0.6456406889962677</c:v>
                </c:pt>
                <c:pt idx="93">
                  <c:v>-0.96821519049446103</c:v>
                </c:pt>
                <c:pt idx="94">
                  <c:v>-1.2904947642663187</c:v>
                </c:pt>
                <c:pt idx="95">
                  <c:v>-1.6123812408316773</c:v>
                </c:pt>
                <c:pt idx="96">
                  <c:v>-1.9337765704515908</c:v>
                </c:pt>
                <c:pt idx="97">
                  <c:v>-2.2545828529952261</c:v>
                </c:pt>
                <c:pt idx="98">
                  <c:v>-2.5747023677612089</c:v>
                </c:pt>
                <c:pt idx="99">
                  <c:v>-2.8940376032442701</c:v>
                </c:pt>
                <c:pt idx="100">
                  <c:v>-3.2124912868382105</c:v>
                </c:pt>
                <c:pt idx="101">
                  <c:v>-3.5299664144660787</c:v>
                </c:pt>
                <c:pt idx="102">
                  <c:v>-3.8463662801285476</c:v>
                </c:pt>
                <c:pt idx="103">
                  <c:v>-4.1615945053615029</c:v>
                </c:pt>
                <c:pt idx="104">
                  <c:v>-4.4755550685938541</c:v>
                </c:pt>
                <c:pt idx="105">
                  <c:v>-4.7881523343966359</c:v>
                </c:pt>
                <c:pt idx="106">
                  <c:v>-5.0992910826144824</c:v>
                </c:pt>
                <c:pt idx="107">
                  <c:v>-5.4088765373706282</c:v>
                </c:pt>
                <c:pt idx="108">
                  <c:v>-5.7168143959365256</c:v>
                </c:pt>
                <c:pt idx="109">
                  <c:v>-6.0230108574573977</c:v>
                </c:pt>
                <c:pt idx="110">
                  <c:v>-6.3273726515248709</c:v>
                </c:pt>
                <c:pt idx="111">
                  <c:v>-6.6298070665880546</c:v>
                </c:pt>
                <c:pt idx="112">
                  <c:v>-6.930221978194373</c:v>
                </c:pt>
                <c:pt idx="113">
                  <c:v>-7.228525877051565</c:v>
                </c:pt>
                <c:pt idx="114">
                  <c:v>-7.524627896902305</c:v>
                </c:pt>
                <c:pt idx="115">
                  <c:v>-7.8184378422029379</c:v>
                </c:pt>
                <c:pt idx="116">
                  <c:v>-8.1098662155979344</c:v>
                </c:pt>
                <c:pt idx="117">
                  <c:v>-8.3988242451816131</c:v>
                </c:pt>
                <c:pt idx="118">
                  <c:v>-8.6852239115389818</c:v>
                </c:pt>
                <c:pt idx="119">
                  <c:v>-8.9689779745572338</c:v>
                </c:pt>
                <c:pt idx="120">
                  <c:v>-9.2499999999999964</c:v>
                </c:pt>
                <c:pt idx="121">
                  <c:v>-9.5282043858360037</c:v>
                </c:pt>
                <c:pt idx="122">
                  <c:v>-9.8035063883142879</c:v>
                </c:pt>
                <c:pt idx="123">
                  <c:v>-10.075822147778002</c:v>
                </c:pt>
                <c:pt idx="124">
                  <c:v>-10.345068714208814</c:v>
                </c:pt>
                <c:pt idx="125">
                  <c:v>-10.611164072494354</c:v>
                </c:pt>
                <c:pt idx="126">
                  <c:v>-10.874027167410752</c:v>
                </c:pt>
                <c:pt idx="127">
                  <c:v>-11.133577928312896</c:v>
                </c:pt>
                <c:pt idx="128">
                  <c:v>-11.389737293524679</c:v>
                </c:pt>
                <c:pt idx="129">
                  <c:v>-11.642427234421989</c:v>
                </c:pt>
                <c:pt idx="130">
                  <c:v>-11.891570779200979</c:v>
                </c:pt>
                <c:pt idx="131">
                  <c:v>-12.137092036324383</c:v>
                </c:pt>
                <c:pt idx="132">
                  <c:v>-12.378916217638878</c:v>
                </c:pt>
                <c:pt idx="133">
                  <c:v>-12.616969661156221</c:v>
                </c:pt>
                <c:pt idx="134">
                  <c:v>-12.851179853491452</c:v>
                </c:pt>
                <c:pt idx="135">
                  <c:v>-13.081475451951128</c:v>
                </c:pt>
                <c:pt idx="136">
                  <c:v>-13.307786306265047</c:v>
                </c:pt>
                <c:pt idx="137">
                  <c:v>-13.530043479954653</c:v>
                </c:pt>
                <c:pt idx="138">
                  <c:v>-13.748179271331789</c:v>
                </c:pt>
                <c:pt idx="139">
                  <c:v>-13.962127234121283</c:v>
                </c:pt>
                <c:pt idx="140">
                  <c:v>-14.171822197701092</c:v>
                </c:pt>
                <c:pt idx="141">
                  <c:v>-14.377200286953961</c:v>
                </c:pt>
                <c:pt idx="142">
                  <c:v>-14.578198941724356</c:v>
                </c:pt>
                <c:pt idx="143">
                  <c:v>-14.774756935874919</c:v>
                </c:pt>
                <c:pt idx="144">
                  <c:v>-14.966814395936526</c:v>
                </c:pt>
                <c:pt idx="145">
                  <c:v>-15.15431281934635</c:v>
                </c:pt>
                <c:pt idx="146">
                  <c:v>-15.337195092268271</c:v>
                </c:pt>
                <c:pt idx="147">
                  <c:v>-15.515405506990342</c:v>
                </c:pt>
                <c:pt idx="148">
                  <c:v>-15.688889778893881</c:v>
                </c:pt>
                <c:pt idx="149">
                  <c:v>-15.857595062989077</c:v>
                </c:pt>
                <c:pt idx="150">
                  <c:v>-16.021469970012117</c:v>
                </c:pt>
                <c:pt idx="151">
                  <c:v>-16.18046458207882</c:v>
                </c:pt>
                <c:pt idx="152">
                  <c:v>-16.334530467890151</c:v>
                </c:pt>
                <c:pt idx="153">
                  <c:v>-16.483620697484803</c:v>
                </c:pt>
                <c:pt idx="154">
                  <c:v>-16.627689856534591</c:v>
                </c:pt>
                <c:pt idx="155">
                  <c:v>-16.766694060178025</c:v>
                </c:pt>
                <c:pt idx="156">
                  <c:v>-16.900590966388116</c:v>
                </c:pt>
                <c:pt idx="157">
                  <c:v>-17.029339788870146</c:v>
                </c:pt>
                <c:pt idx="158">
                  <c:v>-17.152901309485564</c:v>
                </c:pt>
                <c:pt idx="159">
                  <c:v>-17.271237890198233</c:v>
                </c:pt>
                <c:pt idx="160">
                  <c:v>-17.384313484539305</c:v>
                </c:pt>
                <c:pt idx="161">
                  <c:v>-17.49209364858736</c:v>
                </c:pt>
                <c:pt idx="162">
                  <c:v>-17.594545551460339</c:v>
                </c:pt>
                <c:pt idx="163">
                  <c:v>-17.691637985316156</c:v>
                </c:pt>
                <c:pt idx="164">
                  <c:v>-17.7833413748589</c:v>
                </c:pt>
                <c:pt idx="165">
                  <c:v>-17.869627786347763</c:v>
                </c:pt>
                <c:pt idx="166">
                  <c:v>-17.950470936105933</c:v>
                </c:pt>
                <c:pt idx="167">
                  <c:v>-18.02584619852685</c:v>
                </c:pt>
                <c:pt idx="168">
                  <c:v>-18.095730613575405</c:v>
                </c:pt>
                <c:pt idx="169">
                  <c:v>-18.160102893781783</c:v>
                </c:pt>
                <c:pt idx="170">
                  <c:v>-18.218943430725847</c:v>
                </c:pt>
                <c:pt idx="171">
                  <c:v>-18.272234301010048</c:v>
                </c:pt>
                <c:pt idx="172">
                  <c:v>-18.319959271719053</c:v>
                </c:pt>
                <c:pt idx="173">
                  <c:v>-18.362103805364455</c:v>
                </c:pt>
                <c:pt idx="174">
                  <c:v>-18.398655064313054</c:v>
                </c:pt>
                <c:pt idx="175">
                  <c:v>-18.429601914697294</c:v>
                </c:pt>
                <c:pt idx="176">
                  <c:v>-18.454934929806747</c:v>
                </c:pt>
                <c:pt idx="177">
                  <c:v>-18.474646392959617</c:v>
                </c:pt>
                <c:pt idx="178">
                  <c:v>-18.488730299853273</c:v>
                </c:pt>
                <c:pt idx="179">
                  <c:v>-18.497182360393239</c:v>
                </c:pt>
                <c:pt idx="180">
                  <c:v>-18.5</c:v>
                </c:pt>
                <c:pt idx="181">
                  <c:v>-18.497182360393239</c:v>
                </c:pt>
                <c:pt idx="182">
                  <c:v>-18.488730299853273</c:v>
                </c:pt>
                <c:pt idx="183">
                  <c:v>-18.474646392959617</c:v>
                </c:pt>
                <c:pt idx="184">
                  <c:v>-18.454934929806747</c:v>
                </c:pt>
                <c:pt idx="185">
                  <c:v>-18.429601914697294</c:v>
                </c:pt>
                <c:pt idx="186">
                  <c:v>-18.398655064313054</c:v>
                </c:pt>
                <c:pt idx="187">
                  <c:v>-18.362103805364459</c:v>
                </c:pt>
                <c:pt idx="188">
                  <c:v>-18.31995927171905</c:v>
                </c:pt>
                <c:pt idx="189">
                  <c:v>-18.272234301010048</c:v>
                </c:pt>
                <c:pt idx="190">
                  <c:v>-18.218943430725847</c:v>
                </c:pt>
                <c:pt idx="191">
                  <c:v>-18.160102893781783</c:v>
                </c:pt>
                <c:pt idx="192">
                  <c:v>-18.095730613575402</c:v>
                </c:pt>
                <c:pt idx="193">
                  <c:v>-18.025846198526853</c:v>
                </c:pt>
                <c:pt idx="194">
                  <c:v>-17.950470936105933</c:v>
                </c:pt>
                <c:pt idx="195">
                  <c:v>-17.869627786347763</c:v>
                </c:pt>
                <c:pt idx="196">
                  <c:v>-17.7833413748589</c:v>
                </c:pt>
                <c:pt idx="197">
                  <c:v>-17.691637985316156</c:v>
                </c:pt>
                <c:pt idx="198">
                  <c:v>-17.594545551460342</c:v>
                </c:pt>
                <c:pt idx="199">
                  <c:v>-17.49209364858736</c:v>
                </c:pt>
                <c:pt idx="200">
                  <c:v>-17.384313484539305</c:v>
                </c:pt>
                <c:pt idx="201">
                  <c:v>-17.271237890198233</c:v>
                </c:pt>
                <c:pt idx="202">
                  <c:v>-17.152901309485568</c:v>
                </c:pt>
                <c:pt idx="203">
                  <c:v>-17.029339788870146</c:v>
                </c:pt>
                <c:pt idx="204">
                  <c:v>-16.900590966388116</c:v>
                </c:pt>
                <c:pt idx="205">
                  <c:v>-16.766694060178025</c:v>
                </c:pt>
                <c:pt idx="206">
                  <c:v>-16.627689856534587</c:v>
                </c:pt>
                <c:pt idx="207">
                  <c:v>-16.483620697484806</c:v>
                </c:pt>
                <c:pt idx="208">
                  <c:v>-16.334530467890147</c:v>
                </c:pt>
                <c:pt idx="209">
                  <c:v>-16.180464582078823</c:v>
                </c:pt>
                <c:pt idx="210">
                  <c:v>-16.021469970012113</c:v>
                </c:pt>
                <c:pt idx="211">
                  <c:v>-15.857595062989079</c:v>
                </c:pt>
                <c:pt idx="212">
                  <c:v>-15.688889778893882</c:v>
                </c:pt>
                <c:pt idx="213">
                  <c:v>-15.515405506990344</c:v>
                </c:pt>
                <c:pt idx="214">
                  <c:v>-15.337195092268274</c:v>
                </c:pt>
                <c:pt idx="215">
                  <c:v>-15.154312819346348</c:v>
                </c:pt>
                <c:pt idx="216">
                  <c:v>-14.966814395936529</c:v>
                </c:pt>
                <c:pt idx="217">
                  <c:v>-14.774756935874917</c:v>
                </c:pt>
                <c:pt idx="218">
                  <c:v>-14.578198941724358</c:v>
                </c:pt>
                <c:pt idx="219">
                  <c:v>-14.377200286953959</c:v>
                </c:pt>
                <c:pt idx="220">
                  <c:v>-14.171822197701093</c:v>
                </c:pt>
                <c:pt idx="221">
                  <c:v>-13.962127234121285</c:v>
                </c:pt>
                <c:pt idx="222">
                  <c:v>-13.748179271331793</c:v>
                </c:pt>
                <c:pt idx="223">
                  <c:v>-13.530043479954655</c:v>
                </c:pt>
                <c:pt idx="224">
                  <c:v>-13.307786306265045</c:v>
                </c:pt>
                <c:pt idx="225">
                  <c:v>-13.081475451951132</c:v>
                </c:pt>
                <c:pt idx="226">
                  <c:v>-12.851179853491448</c:v>
                </c:pt>
                <c:pt idx="227">
                  <c:v>-12.616969661156224</c:v>
                </c:pt>
                <c:pt idx="228">
                  <c:v>-12.378916217638876</c:v>
                </c:pt>
                <c:pt idx="229">
                  <c:v>-12.137092036324384</c:v>
                </c:pt>
                <c:pt idx="230">
                  <c:v>-11.891570779200981</c:v>
                </c:pt>
                <c:pt idx="231">
                  <c:v>-11.642427234422</c:v>
                </c:pt>
                <c:pt idx="232">
                  <c:v>-11.389737293524675</c:v>
                </c:pt>
                <c:pt idx="233">
                  <c:v>-11.133577928312892</c:v>
                </c:pt>
                <c:pt idx="234">
                  <c:v>-10.874027167410755</c:v>
                </c:pt>
                <c:pt idx="235">
                  <c:v>-10.611164072494358</c:v>
                </c:pt>
                <c:pt idx="236">
                  <c:v>-10.345068714208811</c:v>
                </c:pt>
                <c:pt idx="237">
                  <c:v>-10.075822147777998</c:v>
                </c:pt>
                <c:pt idx="238">
                  <c:v>-9.8035063883142932</c:v>
                </c:pt>
                <c:pt idx="239">
                  <c:v>-9.5282043858360073</c:v>
                </c:pt>
                <c:pt idx="240">
                  <c:v>-9.2500000000000089</c:v>
                </c:pt>
                <c:pt idx="241">
                  <c:v>-8.968977974557232</c:v>
                </c:pt>
                <c:pt idx="242">
                  <c:v>-8.6852239115389782</c:v>
                </c:pt>
                <c:pt idx="243">
                  <c:v>-8.3988242451816184</c:v>
                </c:pt>
                <c:pt idx="244">
                  <c:v>-8.109866215597938</c:v>
                </c:pt>
                <c:pt idx="245">
                  <c:v>-7.8184378422029344</c:v>
                </c:pt>
                <c:pt idx="246">
                  <c:v>-7.5246278969023015</c:v>
                </c:pt>
                <c:pt idx="247">
                  <c:v>-7.2285258770515659</c:v>
                </c:pt>
                <c:pt idx="248">
                  <c:v>-6.9302219781943775</c:v>
                </c:pt>
                <c:pt idx="249">
                  <c:v>-6.6298070665880635</c:v>
                </c:pt>
                <c:pt idx="250">
                  <c:v>-6.3273726515248683</c:v>
                </c:pt>
                <c:pt idx="251">
                  <c:v>-6.0230108574573977</c:v>
                </c:pt>
                <c:pt idx="252">
                  <c:v>-5.7168143959365301</c:v>
                </c:pt>
                <c:pt idx="253">
                  <c:v>-5.4088765373706362</c:v>
                </c:pt>
                <c:pt idx="254">
                  <c:v>-5.0992910826144797</c:v>
                </c:pt>
                <c:pt idx="255">
                  <c:v>-4.7881523343966315</c:v>
                </c:pt>
                <c:pt idx="256">
                  <c:v>-4.4755550685938541</c:v>
                </c:pt>
                <c:pt idx="257">
                  <c:v>-4.1615945053615073</c:v>
                </c:pt>
                <c:pt idx="258">
                  <c:v>-3.8463662801285561</c:v>
                </c:pt>
                <c:pt idx="259">
                  <c:v>-3.5299664144660752</c:v>
                </c:pt>
                <c:pt idx="260">
                  <c:v>-3.2124912868382109</c:v>
                </c:pt>
                <c:pt idx="261">
                  <c:v>-2.8940376032442741</c:v>
                </c:pt>
                <c:pt idx="262">
                  <c:v>-2.5747023677612177</c:v>
                </c:pt>
                <c:pt idx="263">
                  <c:v>-2.2545828529952225</c:v>
                </c:pt>
                <c:pt idx="264">
                  <c:v>-1.9337765704515872</c:v>
                </c:pt>
                <c:pt idx="265">
                  <c:v>-1.6123812408316776</c:v>
                </c:pt>
                <c:pt idx="266">
                  <c:v>-1.2904947642663231</c:v>
                </c:pt>
                <c:pt idx="267">
                  <c:v>-0.96821519049446969</c:v>
                </c:pt>
                <c:pt idx="268">
                  <c:v>-0.64564068899626403</c:v>
                </c:pt>
                <c:pt idx="269">
                  <c:v>-0.32286951908974471</c:v>
                </c:pt>
                <c:pt idx="270">
                  <c:v>-3.3997869623714205E-15</c:v>
                </c:pt>
                <c:pt idx="271">
                  <c:v>0.32286951908973793</c:v>
                </c:pt>
                <c:pt idx="272">
                  <c:v>0.64564068899627369</c:v>
                </c:pt>
                <c:pt idx="273">
                  <c:v>0.96821519049446303</c:v>
                </c:pt>
                <c:pt idx="274">
                  <c:v>1.2904947642663165</c:v>
                </c:pt>
                <c:pt idx="275">
                  <c:v>1.6123812408316709</c:v>
                </c:pt>
                <c:pt idx="276">
                  <c:v>1.9337765704515801</c:v>
                </c:pt>
                <c:pt idx="277">
                  <c:v>2.2545828529952323</c:v>
                </c:pt>
                <c:pt idx="278">
                  <c:v>2.5747023677612111</c:v>
                </c:pt>
                <c:pt idx="279">
                  <c:v>2.8940376032442674</c:v>
                </c:pt>
                <c:pt idx="280">
                  <c:v>3.2124912868382043</c:v>
                </c:pt>
                <c:pt idx="281">
                  <c:v>3.5299664144660845</c:v>
                </c:pt>
                <c:pt idx="282">
                  <c:v>3.8463662801285494</c:v>
                </c:pt>
                <c:pt idx="283">
                  <c:v>4.1615945053615011</c:v>
                </c:pt>
                <c:pt idx="284">
                  <c:v>4.4755550685938479</c:v>
                </c:pt>
                <c:pt idx="285">
                  <c:v>4.7881523343966252</c:v>
                </c:pt>
                <c:pt idx="286">
                  <c:v>5.0992910826144886</c:v>
                </c:pt>
                <c:pt idx="287">
                  <c:v>5.4088765373706291</c:v>
                </c:pt>
                <c:pt idx="288">
                  <c:v>5.7168143959365239</c:v>
                </c:pt>
                <c:pt idx="289">
                  <c:v>6.0230108574573915</c:v>
                </c:pt>
                <c:pt idx="290">
                  <c:v>6.3273726515248763</c:v>
                </c:pt>
                <c:pt idx="291">
                  <c:v>6.6298070665880573</c:v>
                </c:pt>
                <c:pt idx="292">
                  <c:v>6.9302219781943712</c:v>
                </c:pt>
                <c:pt idx="293">
                  <c:v>7.2285258770515597</c:v>
                </c:pt>
                <c:pt idx="294">
                  <c:v>7.5246278969022953</c:v>
                </c:pt>
                <c:pt idx="295">
                  <c:v>7.8184378422029424</c:v>
                </c:pt>
                <c:pt idx="296">
                  <c:v>8.1098662155979326</c:v>
                </c:pt>
                <c:pt idx="297">
                  <c:v>8.3988242451816131</c:v>
                </c:pt>
                <c:pt idx="298">
                  <c:v>8.6852239115389729</c:v>
                </c:pt>
                <c:pt idx="299">
                  <c:v>8.9689779745572391</c:v>
                </c:pt>
                <c:pt idx="300">
                  <c:v>9.2500000000000018</c:v>
                </c:pt>
                <c:pt idx="301">
                  <c:v>9.5282043858360019</c:v>
                </c:pt>
                <c:pt idx="302">
                  <c:v>9.8035063883142861</c:v>
                </c:pt>
                <c:pt idx="303">
                  <c:v>10.075822147777993</c:v>
                </c:pt>
                <c:pt idx="304">
                  <c:v>10.34506871420882</c:v>
                </c:pt>
                <c:pt idx="305">
                  <c:v>10.611164072494352</c:v>
                </c:pt>
                <c:pt idx="306">
                  <c:v>10.874027167410748</c:v>
                </c:pt>
                <c:pt idx="307">
                  <c:v>11.133577928312887</c:v>
                </c:pt>
                <c:pt idx="308">
                  <c:v>11.389737293524682</c:v>
                </c:pt>
                <c:pt idx="309">
                  <c:v>11.642427234421994</c:v>
                </c:pt>
                <c:pt idx="310">
                  <c:v>11.891570779200975</c:v>
                </c:pt>
                <c:pt idx="311">
                  <c:v>12.137092036324381</c:v>
                </c:pt>
                <c:pt idx="312">
                  <c:v>12.378916217638869</c:v>
                </c:pt>
                <c:pt idx="313">
                  <c:v>12.616969661156224</c:v>
                </c:pt>
                <c:pt idx="314">
                  <c:v>12.851179853491448</c:v>
                </c:pt>
                <c:pt idx="315">
                  <c:v>13.081475451951126</c:v>
                </c:pt>
                <c:pt idx="316">
                  <c:v>13.30778630626504</c:v>
                </c:pt>
                <c:pt idx="317">
                  <c:v>13.530043479954658</c:v>
                </c:pt>
                <c:pt idx="318">
                  <c:v>13.748179271331793</c:v>
                </c:pt>
                <c:pt idx="319">
                  <c:v>13.962127234121279</c:v>
                </c:pt>
                <c:pt idx="320">
                  <c:v>14.17182219770109</c:v>
                </c:pt>
                <c:pt idx="321">
                  <c:v>14.377200286953956</c:v>
                </c:pt>
                <c:pt idx="322">
                  <c:v>14.578198941724358</c:v>
                </c:pt>
                <c:pt idx="323">
                  <c:v>14.774756935874917</c:v>
                </c:pt>
                <c:pt idx="324">
                  <c:v>14.966814395936526</c:v>
                </c:pt>
                <c:pt idx="325">
                  <c:v>15.154312819346345</c:v>
                </c:pt>
                <c:pt idx="326">
                  <c:v>15.337195092268274</c:v>
                </c:pt>
                <c:pt idx="327">
                  <c:v>15.515405506990344</c:v>
                </c:pt>
                <c:pt idx="328">
                  <c:v>15.688889778893881</c:v>
                </c:pt>
                <c:pt idx="329">
                  <c:v>15.857595062989073</c:v>
                </c:pt>
                <c:pt idx="330">
                  <c:v>16.021469970012109</c:v>
                </c:pt>
                <c:pt idx="331">
                  <c:v>16.180464582078823</c:v>
                </c:pt>
                <c:pt idx="332">
                  <c:v>16.334530467890147</c:v>
                </c:pt>
                <c:pt idx="333">
                  <c:v>16.483620697484803</c:v>
                </c:pt>
                <c:pt idx="334">
                  <c:v>16.627689856534587</c:v>
                </c:pt>
                <c:pt idx="335">
                  <c:v>16.766694060178025</c:v>
                </c:pt>
                <c:pt idx="336">
                  <c:v>16.900590966388119</c:v>
                </c:pt>
                <c:pt idx="337">
                  <c:v>17.029339788870146</c:v>
                </c:pt>
                <c:pt idx="338">
                  <c:v>17.152901309485564</c:v>
                </c:pt>
                <c:pt idx="339">
                  <c:v>17.271237890198229</c:v>
                </c:pt>
                <c:pt idx="340">
                  <c:v>17.384313484539305</c:v>
                </c:pt>
                <c:pt idx="341">
                  <c:v>17.49209364858736</c:v>
                </c:pt>
                <c:pt idx="342">
                  <c:v>17.594545551460339</c:v>
                </c:pt>
                <c:pt idx="343">
                  <c:v>17.691637985316152</c:v>
                </c:pt>
                <c:pt idx="344">
                  <c:v>17.7833413748589</c:v>
                </c:pt>
                <c:pt idx="345">
                  <c:v>17.869627786347763</c:v>
                </c:pt>
                <c:pt idx="346">
                  <c:v>17.950470936105933</c:v>
                </c:pt>
                <c:pt idx="347">
                  <c:v>18.02584619852685</c:v>
                </c:pt>
                <c:pt idx="348">
                  <c:v>18.095730613575402</c:v>
                </c:pt>
                <c:pt idx="349">
                  <c:v>18.160102893781783</c:v>
                </c:pt>
                <c:pt idx="350">
                  <c:v>18.218943430725847</c:v>
                </c:pt>
                <c:pt idx="351">
                  <c:v>18.272234301010048</c:v>
                </c:pt>
                <c:pt idx="352">
                  <c:v>18.31995927171905</c:v>
                </c:pt>
                <c:pt idx="353">
                  <c:v>18.362103805364459</c:v>
                </c:pt>
                <c:pt idx="354">
                  <c:v>18.398655064313054</c:v>
                </c:pt>
                <c:pt idx="355">
                  <c:v>18.429601914697294</c:v>
                </c:pt>
                <c:pt idx="356">
                  <c:v>18.454934929806747</c:v>
                </c:pt>
                <c:pt idx="357">
                  <c:v>18.474646392959617</c:v>
                </c:pt>
                <c:pt idx="358">
                  <c:v>18.488730299853273</c:v>
                </c:pt>
                <c:pt idx="359">
                  <c:v>18.497182360393239</c:v>
                </c:pt>
                <c:pt idx="360">
                  <c:v>18.5</c:v>
                </c:pt>
              </c:numCache>
            </c:numRef>
          </c:xVal>
          <c:yVal>
            <c:numRef>
              <c:f>사이클로이드!$I$2:$I$362</c:f>
              <c:numCache>
                <c:formatCode>General</c:formatCode>
                <c:ptCount val="361"/>
                <c:pt idx="0">
                  <c:v>0</c:v>
                </c:pt>
                <c:pt idx="1">
                  <c:v>0.32286951908974498</c:v>
                </c:pt>
                <c:pt idx="2">
                  <c:v>0.64564068899626792</c:v>
                </c:pt>
                <c:pt idx="3">
                  <c:v>0.96821519049446092</c:v>
                </c:pt>
                <c:pt idx="4">
                  <c:v>1.290494764266318</c:v>
                </c:pt>
                <c:pt idx="5">
                  <c:v>1.612381240831676</c:v>
                </c:pt>
                <c:pt idx="6">
                  <c:v>1.9337765704515892</c:v>
                </c:pt>
                <c:pt idx="7">
                  <c:v>2.2545828529952283</c:v>
                </c:pt>
                <c:pt idx="8">
                  <c:v>2.5747023677612106</c:v>
                </c:pt>
                <c:pt idx="9">
                  <c:v>2.894037603244271</c:v>
                </c:pt>
                <c:pt idx="10">
                  <c:v>3.2124912868382109</c:v>
                </c:pt>
                <c:pt idx="11">
                  <c:v>3.5299664144660787</c:v>
                </c:pt>
                <c:pt idx="12">
                  <c:v>3.8463662801285476</c:v>
                </c:pt>
                <c:pt idx="13">
                  <c:v>4.1615945053615029</c:v>
                </c:pt>
                <c:pt idx="14">
                  <c:v>4.4755550685938532</c:v>
                </c:pt>
                <c:pt idx="15">
                  <c:v>4.7881523343966332</c:v>
                </c:pt>
                <c:pt idx="16">
                  <c:v>5.0992910826144842</c:v>
                </c:pt>
                <c:pt idx="17">
                  <c:v>5.40887653737063</c:v>
                </c:pt>
                <c:pt idx="18">
                  <c:v>5.7168143959365265</c:v>
                </c:pt>
                <c:pt idx="19">
                  <c:v>6.0230108574573986</c:v>
                </c:pt>
                <c:pt idx="20">
                  <c:v>6.3273726515248709</c:v>
                </c:pt>
                <c:pt idx="21">
                  <c:v>6.6298070665880546</c:v>
                </c:pt>
                <c:pt idx="22">
                  <c:v>6.9302219781943721</c:v>
                </c:pt>
                <c:pt idx="23">
                  <c:v>7.228525877051565</c:v>
                </c:pt>
                <c:pt idx="24">
                  <c:v>7.5246278969023042</c:v>
                </c:pt>
                <c:pt idx="25">
                  <c:v>7.8184378422029397</c:v>
                </c:pt>
                <c:pt idx="26">
                  <c:v>8.1098662155979326</c:v>
                </c:pt>
                <c:pt idx="27">
                  <c:v>8.3988242451816149</c:v>
                </c:pt>
                <c:pt idx="28">
                  <c:v>8.68522391153898</c:v>
                </c:pt>
                <c:pt idx="29">
                  <c:v>8.9689779745572356</c:v>
                </c:pt>
                <c:pt idx="30">
                  <c:v>9.2499999999999982</c:v>
                </c:pt>
                <c:pt idx="31">
                  <c:v>9.5282043858360019</c:v>
                </c:pt>
                <c:pt idx="32">
                  <c:v>9.8035063883142914</c:v>
                </c:pt>
                <c:pt idx="33">
                  <c:v>10.075822147778002</c:v>
                </c:pt>
                <c:pt idx="34">
                  <c:v>10.345068714208818</c:v>
                </c:pt>
                <c:pt idx="35">
                  <c:v>10.611164072494352</c:v>
                </c:pt>
                <c:pt idx="36">
                  <c:v>10.874027167410754</c:v>
                </c:pt>
                <c:pt idx="37">
                  <c:v>11.133577928312892</c:v>
                </c:pt>
                <c:pt idx="38">
                  <c:v>11.389737293524679</c:v>
                </c:pt>
                <c:pt idx="39">
                  <c:v>11.642427234421993</c:v>
                </c:pt>
                <c:pt idx="40">
                  <c:v>11.891570779200975</c:v>
                </c:pt>
                <c:pt idx="41">
                  <c:v>12.137092036324384</c:v>
                </c:pt>
                <c:pt idx="42">
                  <c:v>12.378916217638878</c:v>
                </c:pt>
                <c:pt idx="43">
                  <c:v>12.616969661156222</c:v>
                </c:pt>
                <c:pt idx="44">
                  <c:v>12.851179853491448</c:v>
                </c:pt>
                <c:pt idx="45">
                  <c:v>13.081475451951128</c:v>
                </c:pt>
                <c:pt idx="46">
                  <c:v>13.307786306265045</c:v>
                </c:pt>
                <c:pt idx="47">
                  <c:v>13.530043479954653</c:v>
                </c:pt>
                <c:pt idx="48">
                  <c:v>13.748179271331793</c:v>
                </c:pt>
                <c:pt idx="49">
                  <c:v>13.962127234121283</c:v>
                </c:pt>
                <c:pt idx="50">
                  <c:v>14.171822197701093</c:v>
                </c:pt>
                <c:pt idx="51">
                  <c:v>14.377200286953961</c:v>
                </c:pt>
                <c:pt idx="52">
                  <c:v>14.578198941724358</c:v>
                </c:pt>
                <c:pt idx="53">
                  <c:v>14.774756935874917</c:v>
                </c:pt>
                <c:pt idx="54">
                  <c:v>14.966814395936527</c:v>
                </c:pt>
                <c:pt idx="55">
                  <c:v>15.154312819346348</c:v>
                </c:pt>
                <c:pt idx="56">
                  <c:v>15.337195092268272</c:v>
                </c:pt>
                <c:pt idx="57">
                  <c:v>15.515405506990344</c:v>
                </c:pt>
                <c:pt idx="58">
                  <c:v>15.688889778893881</c:v>
                </c:pt>
                <c:pt idx="59">
                  <c:v>15.857595062989079</c:v>
                </c:pt>
                <c:pt idx="60">
                  <c:v>16.021469970012113</c:v>
                </c:pt>
                <c:pt idx="61">
                  <c:v>16.18046458207882</c:v>
                </c:pt>
                <c:pt idx="62">
                  <c:v>16.334530467890147</c:v>
                </c:pt>
                <c:pt idx="63">
                  <c:v>16.483620697484803</c:v>
                </c:pt>
                <c:pt idx="64">
                  <c:v>16.627689856534591</c:v>
                </c:pt>
                <c:pt idx="65">
                  <c:v>16.766694060178025</c:v>
                </c:pt>
                <c:pt idx="66">
                  <c:v>16.900590966388116</c:v>
                </c:pt>
                <c:pt idx="67">
                  <c:v>17.029339788870146</c:v>
                </c:pt>
                <c:pt idx="68">
                  <c:v>17.152901309485568</c:v>
                </c:pt>
                <c:pt idx="69">
                  <c:v>17.271237890198233</c:v>
                </c:pt>
                <c:pt idx="70">
                  <c:v>17.384313484539305</c:v>
                </c:pt>
                <c:pt idx="71">
                  <c:v>17.49209364858736</c:v>
                </c:pt>
                <c:pt idx="72">
                  <c:v>17.594545551460339</c:v>
                </c:pt>
                <c:pt idx="73">
                  <c:v>17.691637985316156</c:v>
                </c:pt>
                <c:pt idx="74">
                  <c:v>17.7833413748589</c:v>
                </c:pt>
                <c:pt idx="75">
                  <c:v>17.869627786347763</c:v>
                </c:pt>
                <c:pt idx="76">
                  <c:v>17.950470936105933</c:v>
                </c:pt>
                <c:pt idx="77">
                  <c:v>18.025846198526853</c:v>
                </c:pt>
                <c:pt idx="78">
                  <c:v>18.095730613575402</c:v>
                </c:pt>
                <c:pt idx="79">
                  <c:v>18.160102893781783</c:v>
                </c:pt>
                <c:pt idx="80">
                  <c:v>18.218943430725847</c:v>
                </c:pt>
                <c:pt idx="81">
                  <c:v>18.272234301010048</c:v>
                </c:pt>
                <c:pt idx="82">
                  <c:v>18.319959271719053</c:v>
                </c:pt>
                <c:pt idx="83">
                  <c:v>18.362103805364455</c:v>
                </c:pt>
                <c:pt idx="84">
                  <c:v>18.398655064313054</c:v>
                </c:pt>
                <c:pt idx="85">
                  <c:v>18.429601914697294</c:v>
                </c:pt>
                <c:pt idx="86">
                  <c:v>18.454934929806747</c:v>
                </c:pt>
                <c:pt idx="87">
                  <c:v>18.474646392959617</c:v>
                </c:pt>
                <c:pt idx="88">
                  <c:v>18.488730299853273</c:v>
                </c:pt>
                <c:pt idx="89">
                  <c:v>18.497182360393239</c:v>
                </c:pt>
                <c:pt idx="90">
                  <c:v>18.5</c:v>
                </c:pt>
                <c:pt idx="91">
                  <c:v>18.497182360393239</c:v>
                </c:pt>
                <c:pt idx="92">
                  <c:v>18.488730299853273</c:v>
                </c:pt>
                <c:pt idx="93">
                  <c:v>18.474646392959617</c:v>
                </c:pt>
                <c:pt idx="94">
                  <c:v>18.454934929806747</c:v>
                </c:pt>
                <c:pt idx="95">
                  <c:v>18.429601914697294</c:v>
                </c:pt>
                <c:pt idx="96">
                  <c:v>18.398655064313054</c:v>
                </c:pt>
                <c:pt idx="97">
                  <c:v>18.362103805364459</c:v>
                </c:pt>
                <c:pt idx="98">
                  <c:v>18.319959271719053</c:v>
                </c:pt>
                <c:pt idx="99">
                  <c:v>18.272234301010048</c:v>
                </c:pt>
                <c:pt idx="100">
                  <c:v>18.218943430725847</c:v>
                </c:pt>
                <c:pt idx="101">
                  <c:v>18.160102893781783</c:v>
                </c:pt>
                <c:pt idx="102">
                  <c:v>18.095730613575405</c:v>
                </c:pt>
                <c:pt idx="103">
                  <c:v>18.025846198526853</c:v>
                </c:pt>
                <c:pt idx="104">
                  <c:v>17.950470936105933</c:v>
                </c:pt>
                <c:pt idx="105">
                  <c:v>17.869627786347763</c:v>
                </c:pt>
                <c:pt idx="106">
                  <c:v>17.7833413748589</c:v>
                </c:pt>
                <c:pt idx="107">
                  <c:v>17.691637985316156</c:v>
                </c:pt>
                <c:pt idx="108">
                  <c:v>17.594545551460342</c:v>
                </c:pt>
                <c:pt idx="109">
                  <c:v>17.49209364858736</c:v>
                </c:pt>
                <c:pt idx="110">
                  <c:v>17.384313484539305</c:v>
                </c:pt>
                <c:pt idx="111">
                  <c:v>17.271237890198233</c:v>
                </c:pt>
                <c:pt idx="112">
                  <c:v>17.152901309485568</c:v>
                </c:pt>
                <c:pt idx="113">
                  <c:v>17.029339788870146</c:v>
                </c:pt>
                <c:pt idx="114">
                  <c:v>16.900590966388116</c:v>
                </c:pt>
                <c:pt idx="115">
                  <c:v>16.766694060178025</c:v>
                </c:pt>
                <c:pt idx="116">
                  <c:v>16.627689856534587</c:v>
                </c:pt>
                <c:pt idx="117">
                  <c:v>16.483620697484806</c:v>
                </c:pt>
                <c:pt idx="118">
                  <c:v>16.334530467890147</c:v>
                </c:pt>
                <c:pt idx="119">
                  <c:v>16.180464582078823</c:v>
                </c:pt>
                <c:pt idx="120">
                  <c:v>16.021469970012117</c:v>
                </c:pt>
                <c:pt idx="121">
                  <c:v>15.857595062989079</c:v>
                </c:pt>
                <c:pt idx="122">
                  <c:v>15.688889778893882</c:v>
                </c:pt>
                <c:pt idx="123">
                  <c:v>15.515405506990342</c:v>
                </c:pt>
                <c:pt idx="124">
                  <c:v>15.337195092268272</c:v>
                </c:pt>
                <c:pt idx="125">
                  <c:v>15.154312819346346</c:v>
                </c:pt>
                <c:pt idx="126">
                  <c:v>14.966814395936527</c:v>
                </c:pt>
                <c:pt idx="127">
                  <c:v>14.774756935874915</c:v>
                </c:pt>
                <c:pt idx="128">
                  <c:v>14.578198941724358</c:v>
                </c:pt>
                <c:pt idx="129">
                  <c:v>14.377200286953963</c:v>
                </c:pt>
                <c:pt idx="130">
                  <c:v>14.171822197701093</c:v>
                </c:pt>
                <c:pt idx="131">
                  <c:v>13.962127234121285</c:v>
                </c:pt>
                <c:pt idx="132">
                  <c:v>13.748179271331793</c:v>
                </c:pt>
                <c:pt idx="133">
                  <c:v>13.530043479954655</c:v>
                </c:pt>
                <c:pt idx="134">
                  <c:v>13.307786306265045</c:v>
                </c:pt>
                <c:pt idx="135">
                  <c:v>13.08147545195113</c:v>
                </c:pt>
                <c:pt idx="136">
                  <c:v>12.851179853491447</c:v>
                </c:pt>
                <c:pt idx="137">
                  <c:v>12.616969661156224</c:v>
                </c:pt>
                <c:pt idx="138">
                  <c:v>12.37891621763888</c:v>
                </c:pt>
                <c:pt idx="139">
                  <c:v>12.137092036324384</c:v>
                </c:pt>
                <c:pt idx="140">
                  <c:v>11.891570779200981</c:v>
                </c:pt>
                <c:pt idx="141">
                  <c:v>11.642427234421993</c:v>
                </c:pt>
                <c:pt idx="142">
                  <c:v>11.38973729352468</c:v>
                </c:pt>
                <c:pt idx="143">
                  <c:v>11.13357792831289</c:v>
                </c:pt>
                <c:pt idx="144">
                  <c:v>10.874027167410755</c:v>
                </c:pt>
                <c:pt idx="145">
                  <c:v>10.611164072494351</c:v>
                </c:pt>
                <c:pt idx="146">
                  <c:v>10.345068714208818</c:v>
                </c:pt>
                <c:pt idx="147">
                  <c:v>10.075822147778005</c:v>
                </c:pt>
                <c:pt idx="148">
                  <c:v>9.8035063883142914</c:v>
                </c:pt>
                <c:pt idx="149">
                  <c:v>9.5282043858360055</c:v>
                </c:pt>
                <c:pt idx="150">
                  <c:v>9.2499999999999982</c:v>
                </c:pt>
                <c:pt idx="151">
                  <c:v>8.9689779745572373</c:v>
                </c:pt>
                <c:pt idx="152">
                  <c:v>8.6852239115389782</c:v>
                </c:pt>
                <c:pt idx="153">
                  <c:v>8.3988242451816166</c:v>
                </c:pt>
                <c:pt idx="154">
                  <c:v>8.1098662155979291</c:v>
                </c:pt>
                <c:pt idx="155">
                  <c:v>7.8184378422029406</c:v>
                </c:pt>
                <c:pt idx="156">
                  <c:v>7.5246278969023077</c:v>
                </c:pt>
                <c:pt idx="157">
                  <c:v>7.228525877051565</c:v>
                </c:pt>
                <c:pt idx="158">
                  <c:v>6.9302219781943766</c:v>
                </c:pt>
                <c:pt idx="159">
                  <c:v>6.6298070665880537</c:v>
                </c:pt>
                <c:pt idx="160">
                  <c:v>6.3273726515248745</c:v>
                </c:pt>
                <c:pt idx="161">
                  <c:v>6.0230108574573968</c:v>
                </c:pt>
                <c:pt idx="162">
                  <c:v>5.7168143959365292</c:v>
                </c:pt>
                <c:pt idx="163">
                  <c:v>5.4088765373706273</c:v>
                </c:pt>
                <c:pt idx="164">
                  <c:v>5.0992910826144859</c:v>
                </c:pt>
                <c:pt idx="165">
                  <c:v>4.7881523343966386</c:v>
                </c:pt>
                <c:pt idx="166">
                  <c:v>4.4755550685938532</c:v>
                </c:pt>
                <c:pt idx="167">
                  <c:v>4.1615945053615064</c:v>
                </c:pt>
                <c:pt idx="168">
                  <c:v>3.8463662801285472</c:v>
                </c:pt>
                <c:pt idx="169">
                  <c:v>3.5299664144660818</c:v>
                </c:pt>
                <c:pt idx="170">
                  <c:v>3.2124912868382101</c:v>
                </c:pt>
                <c:pt idx="171">
                  <c:v>2.8940376032442732</c:v>
                </c:pt>
                <c:pt idx="172">
                  <c:v>2.5747023677612084</c:v>
                </c:pt>
                <c:pt idx="173">
                  <c:v>2.2545828529952296</c:v>
                </c:pt>
                <c:pt idx="174">
                  <c:v>1.9337765704515941</c:v>
                </c:pt>
                <c:pt idx="175">
                  <c:v>1.6123812408316767</c:v>
                </c:pt>
                <c:pt idx="176">
                  <c:v>1.2904947642663223</c:v>
                </c:pt>
                <c:pt idx="177">
                  <c:v>0.96821519049446048</c:v>
                </c:pt>
                <c:pt idx="178">
                  <c:v>0.64564068899627114</c:v>
                </c:pt>
                <c:pt idx="179">
                  <c:v>0.3228695190897436</c:v>
                </c:pt>
                <c:pt idx="180">
                  <c:v>2.266524641580947E-15</c:v>
                </c:pt>
                <c:pt idx="181">
                  <c:v>-0.32286951908974726</c:v>
                </c:pt>
                <c:pt idx="182">
                  <c:v>-0.6456406889962667</c:v>
                </c:pt>
                <c:pt idx="183">
                  <c:v>-0.96821519049445581</c:v>
                </c:pt>
                <c:pt idx="184">
                  <c:v>-1.2904947642663176</c:v>
                </c:pt>
                <c:pt idx="185">
                  <c:v>-1.612381240831672</c:v>
                </c:pt>
                <c:pt idx="186">
                  <c:v>-1.9337765704515897</c:v>
                </c:pt>
                <c:pt idx="187">
                  <c:v>-2.2545828529952252</c:v>
                </c:pt>
                <c:pt idx="188">
                  <c:v>-2.574702367761212</c:v>
                </c:pt>
                <c:pt idx="189">
                  <c:v>-2.8940376032442687</c:v>
                </c:pt>
                <c:pt idx="190">
                  <c:v>-3.2124912868382136</c:v>
                </c:pt>
                <c:pt idx="191">
                  <c:v>-3.5299664144660774</c:v>
                </c:pt>
                <c:pt idx="192">
                  <c:v>-3.8463662801285508</c:v>
                </c:pt>
                <c:pt idx="193">
                  <c:v>-4.161594505361502</c:v>
                </c:pt>
                <c:pt idx="194">
                  <c:v>-4.4755550685938488</c:v>
                </c:pt>
                <c:pt idx="195">
                  <c:v>-4.788152334396635</c:v>
                </c:pt>
                <c:pt idx="196">
                  <c:v>-5.0992910826144815</c:v>
                </c:pt>
                <c:pt idx="197">
                  <c:v>-5.40887653737063</c:v>
                </c:pt>
                <c:pt idx="198">
                  <c:v>-5.7168143959365247</c:v>
                </c:pt>
                <c:pt idx="199">
                  <c:v>-6.0230108574574004</c:v>
                </c:pt>
                <c:pt idx="200">
                  <c:v>-6.3273726515248701</c:v>
                </c:pt>
                <c:pt idx="201">
                  <c:v>-6.6298070665880582</c:v>
                </c:pt>
                <c:pt idx="202">
                  <c:v>-6.9302219781943721</c:v>
                </c:pt>
                <c:pt idx="203">
                  <c:v>-7.2285258770515606</c:v>
                </c:pt>
                <c:pt idx="204">
                  <c:v>-7.5246278969023042</c:v>
                </c:pt>
                <c:pt idx="205">
                  <c:v>-7.8184378422029361</c:v>
                </c:pt>
                <c:pt idx="206">
                  <c:v>-8.1098662155979326</c:v>
                </c:pt>
                <c:pt idx="207">
                  <c:v>-8.3988242451816131</c:v>
                </c:pt>
                <c:pt idx="208">
                  <c:v>-8.6852239115389818</c:v>
                </c:pt>
                <c:pt idx="209">
                  <c:v>-8.9689779745572338</c:v>
                </c:pt>
                <c:pt idx="210">
                  <c:v>-9.2500000000000018</c:v>
                </c:pt>
                <c:pt idx="211">
                  <c:v>-9.5282043858360019</c:v>
                </c:pt>
                <c:pt idx="212">
                  <c:v>-9.8035063883142879</c:v>
                </c:pt>
                <c:pt idx="213">
                  <c:v>-10.075822147778002</c:v>
                </c:pt>
                <c:pt idx="214">
                  <c:v>-10.345068714208814</c:v>
                </c:pt>
                <c:pt idx="215">
                  <c:v>-10.611164072494354</c:v>
                </c:pt>
                <c:pt idx="216">
                  <c:v>-10.874027167410752</c:v>
                </c:pt>
                <c:pt idx="217">
                  <c:v>-11.133577928312896</c:v>
                </c:pt>
                <c:pt idx="218">
                  <c:v>-11.389737293524677</c:v>
                </c:pt>
                <c:pt idx="219">
                  <c:v>-11.642427234421996</c:v>
                </c:pt>
                <c:pt idx="220">
                  <c:v>-11.891570779200975</c:v>
                </c:pt>
                <c:pt idx="221">
                  <c:v>-12.137092036324381</c:v>
                </c:pt>
                <c:pt idx="222">
                  <c:v>-12.378916217638878</c:v>
                </c:pt>
                <c:pt idx="223">
                  <c:v>-12.616969661156221</c:v>
                </c:pt>
                <c:pt idx="224">
                  <c:v>-12.851179853491452</c:v>
                </c:pt>
                <c:pt idx="225">
                  <c:v>-13.081475451951128</c:v>
                </c:pt>
                <c:pt idx="226">
                  <c:v>-13.307786306265047</c:v>
                </c:pt>
                <c:pt idx="227">
                  <c:v>-13.530043479954653</c:v>
                </c:pt>
                <c:pt idx="228">
                  <c:v>-13.748179271331795</c:v>
                </c:pt>
                <c:pt idx="229">
                  <c:v>-13.962127234121283</c:v>
                </c:pt>
                <c:pt idx="230">
                  <c:v>-14.171822197701092</c:v>
                </c:pt>
                <c:pt idx="231">
                  <c:v>-14.377200286953956</c:v>
                </c:pt>
                <c:pt idx="232">
                  <c:v>-14.578198941724359</c:v>
                </c:pt>
                <c:pt idx="233">
                  <c:v>-14.774756935874917</c:v>
                </c:pt>
                <c:pt idx="234">
                  <c:v>-14.966814395936526</c:v>
                </c:pt>
                <c:pt idx="235">
                  <c:v>-15.154312819346345</c:v>
                </c:pt>
                <c:pt idx="236">
                  <c:v>-15.337195092268274</c:v>
                </c:pt>
                <c:pt idx="237">
                  <c:v>-15.515405506990344</c:v>
                </c:pt>
                <c:pt idx="238">
                  <c:v>-15.688889778893881</c:v>
                </c:pt>
                <c:pt idx="239">
                  <c:v>-15.857595062989073</c:v>
                </c:pt>
                <c:pt idx="240">
                  <c:v>-16.021469970012109</c:v>
                </c:pt>
                <c:pt idx="241">
                  <c:v>-16.180464582078827</c:v>
                </c:pt>
                <c:pt idx="242">
                  <c:v>-16.334530467890151</c:v>
                </c:pt>
                <c:pt idx="243">
                  <c:v>-16.483620697484803</c:v>
                </c:pt>
                <c:pt idx="244">
                  <c:v>-16.627689856534587</c:v>
                </c:pt>
                <c:pt idx="245">
                  <c:v>-16.766694060178025</c:v>
                </c:pt>
                <c:pt idx="246">
                  <c:v>-16.900590966388119</c:v>
                </c:pt>
                <c:pt idx="247">
                  <c:v>-17.029339788870146</c:v>
                </c:pt>
                <c:pt idx="248">
                  <c:v>-17.152901309485564</c:v>
                </c:pt>
                <c:pt idx="249">
                  <c:v>-17.271237890198229</c:v>
                </c:pt>
                <c:pt idx="250">
                  <c:v>-17.384313484539305</c:v>
                </c:pt>
                <c:pt idx="251">
                  <c:v>-17.49209364858736</c:v>
                </c:pt>
                <c:pt idx="252">
                  <c:v>-17.594545551460339</c:v>
                </c:pt>
                <c:pt idx="253">
                  <c:v>-17.691637985316152</c:v>
                </c:pt>
                <c:pt idx="254">
                  <c:v>-17.783341374858903</c:v>
                </c:pt>
                <c:pt idx="255">
                  <c:v>-17.869627786347763</c:v>
                </c:pt>
                <c:pt idx="256">
                  <c:v>-17.950470936105933</c:v>
                </c:pt>
                <c:pt idx="257">
                  <c:v>-18.02584619852685</c:v>
                </c:pt>
                <c:pt idx="258">
                  <c:v>-18.095730613575402</c:v>
                </c:pt>
                <c:pt idx="259">
                  <c:v>-18.160102893781783</c:v>
                </c:pt>
                <c:pt idx="260">
                  <c:v>-18.218943430725847</c:v>
                </c:pt>
                <c:pt idx="261">
                  <c:v>-18.272234301010048</c:v>
                </c:pt>
                <c:pt idx="262">
                  <c:v>-18.31995927171905</c:v>
                </c:pt>
                <c:pt idx="263">
                  <c:v>-18.362103805364459</c:v>
                </c:pt>
                <c:pt idx="264">
                  <c:v>-18.398655064313058</c:v>
                </c:pt>
                <c:pt idx="265">
                  <c:v>-18.429601914697294</c:v>
                </c:pt>
                <c:pt idx="266">
                  <c:v>-18.454934929806747</c:v>
                </c:pt>
                <c:pt idx="267">
                  <c:v>-18.474646392959617</c:v>
                </c:pt>
                <c:pt idx="268">
                  <c:v>-18.488730299853273</c:v>
                </c:pt>
                <c:pt idx="269">
                  <c:v>-18.497182360393239</c:v>
                </c:pt>
                <c:pt idx="270">
                  <c:v>-18.5</c:v>
                </c:pt>
                <c:pt idx="271">
                  <c:v>-18.497182360393239</c:v>
                </c:pt>
                <c:pt idx="272">
                  <c:v>-18.488730299853273</c:v>
                </c:pt>
                <c:pt idx="273">
                  <c:v>-18.474646392959617</c:v>
                </c:pt>
                <c:pt idx="274">
                  <c:v>-18.45493492980675</c:v>
                </c:pt>
                <c:pt idx="275">
                  <c:v>-18.429601914697294</c:v>
                </c:pt>
                <c:pt idx="276">
                  <c:v>-18.398655064313058</c:v>
                </c:pt>
                <c:pt idx="277">
                  <c:v>-18.362103805364455</c:v>
                </c:pt>
                <c:pt idx="278">
                  <c:v>-18.319959271719053</c:v>
                </c:pt>
                <c:pt idx="279">
                  <c:v>-18.272234301010048</c:v>
                </c:pt>
                <c:pt idx="280">
                  <c:v>-18.218943430725851</c:v>
                </c:pt>
                <c:pt idx="281">
                  <c:v>-18.160102893781783</c:v>
                </c:pt>
                <c:pt idx="282">
                  <c:v>-18.095730613575402</c:v>
                </c:pt>
                <c:pt idx="283">
                  <c:v>-18.025846198526853</c:v>
                </c:pt>
                <c:pt idx="284">
                  <c:v>-17.950470936105937</c:v>
                </c:pt>
                <c:pt idx="285">
                  <c:v>-17.869627786347767</c:v>
                </c:pt>
                <c:pt idx="286">
                  <c:v>-17.783341374858896</c:v>
                </c:pt>
                <c:pt idx="287">
                  <c:v>-17.691637985316156</c:v>
                </c:pt>
                <c:pt idx="288">
                  <c:v>-17.594545551460342</c:v>
                </c:pt>
                <c:pt idx="289">
                  <c:v>-17.492093648587364</c:v>
                </c:pt>
                <c:pt idx="290">
                  <c:v>-17.384313484539305</c:v>
                </c:pt>
                <c:pt idx="291">
                  <c:v>-17.271237890198233</c:v>
                </c:pt>
                <c:pt idx="292">
                  <c:v>-17.152901309485568</c:v>
                </c:pt>
                <c:pt idx="293">
                  <c:v>-17.02933978887015</c:v>
                </c:pt>
                <c:pt idx="294">
                  <c:v>-16.900590966388119</c:v>
                </c:pt>
                <c:pt idx="295">
                  <c:v>-16.766694060178025</c:v>
                </c:pt>
                <c:pt idx="296">
                  <c:v>-16.627689856534591</c:v>
                </c:pt>
                <c:pt idx="297">
                  <c:v>-16.483620697484806</c:v>
                </c:pt>
                <c:pt idx="298">
                  <c:v>-16.334530467890151</c:v>
                </c:pt>
                <c:pt idx="299">
                  <c:v>-16.18046458207882</c:v>
                </c:pt>
                <c:pt idx="300">
                  <c:v>-16.021469970012113</c:v>
                </c:pt>
                <c:pt idx="301">
                  <c:v>-15.857595062989079</c:v>
                </c:pt>
                <c:pt idx="302">
                  <c:v>-15.688889778893884</c:v>
                </c:pt>
                <c:pt idx="303">
                  <c:v>-15.51540550699035</c:v>
                </c:pt>
                <c:pt idx="304">
                  <c:v>-15.337195092268271</c:v>
                </c:pt>
                <c:pt idx="305">
                  <c:v>-15.154312819346348</c:v>
                </c:pt>
                <c:pt idx="306">
                  <c:v>-14.966814395936529</c:v>
                </c:pt>
                <c:pt idx="307">
                  <c:v>-14.774756935874921</c:v>
                </c:pt>
                <c:pt idx="308">
                  <c:v>-14.578198941724352</c:v>
                </c:pt>
                <c:pt idx="309">
                  <c:v>-14.377200286953959</c:v>
                </c:pt>
                <c:pt idx="310">
                  <c:v>-14.171822197701095</c:v>
                </c:pt>
                <c:pt idx="311">
                  <c:v>-13.962127234121287</c:v>
                </c:pt>
                <c:pt idx="312">
                  <c:v>-13.7481792713318</c:v>
                </c:pt>
                <c:pt idx="313">
                  <c:v>-13.530043479954651</c:v>
                </c:pt>
                <c:pt idx="314">
                  <c:v>-13.307786306265047</c:v>
                </c:pt>
                <c:pt idx="315">
                  <c:v>-13.081475451951132</c:v>
                </c:pt>
                <c:pt idx="316">
                  <c:v>-12.851179853491455</c:v>
                </c:pt>
                <c:pt idx="317">
                  <c:v>-12.616969661156217</c:v>
                </c:pt>
                <c:pt idx="318">
                  <c:v>-12.378916217638876</c:v>
                </c:pt>
                <c:pt idx="319">
                  <c:v>-12.137092036324386</c:v>
                </c:pt>
                <c:pt idx="320">
                  <c:v>-11.891570779200983</c:v>
                </c:pt>
                <c:pt idx="321">
                  <c:v>-11.642427234422</c:v>
                </c:pt>
                <c:pt idx="322">
                  <c:v>-11.389737293524677</c:v>
                </c:pt>
                <c:pt idx="323">
                  <c:v>-11.133577928312892</c:v>
                </c:pt>
                <c:pt idx="324">
                  <c:v>-10.874027167410757</c:v>
                </c:pt>
                <c:pt idx="325">
                  <c:v>-10.611164072494359</c:v>
                </c:pt>
                <c:pt idx="326">
                  <c:v>-10.345068714208811</c:v>
                </c:pt>
                <c:pt idx="327">
                  <c:v>-10.075822147777998</c:v>
                </c:pt>
                <c:pt idx="328">
                  <c:v>-9.8035063883142932</c:v>
                </c:pt>
                <c:pt idx="329">
                  <c:v>-9.5282043858360073</c:v>
                </c:pt>
                <c:pt idx="330">
                  <c:v>-9.2500000000000089</c:v>
                </c:pt>
                <c:pt idx="331">
                  <c:v>-8.968977974557232</c:v>
                </c:pt>
                <c:pt idx="332">
                  <c:v>-8.68522391153898</c:v>
                </c:pt>
                <c:pt idx="333">
                  <c:v>-8.3988242451816184</c:v>
                </c:pt>
                <c:pt idx="334">
                  <c:v>-8.1098662155979397</c:v>
                </c:pt>
                <c:pt idx="335">
                  <c:v>-7.8184378422029353</c:v>
                </c:pt>
                <c:pt idx="336">
                  <c:v>-7.5246278969023024</c:v>
                </c:pt>
                <c:pt idx="337">
                  <c:v>-7.2285258770515668</c:v>
                </c:pt>
                <c:pt idx="338">
                  <c:v>-6.9302219781943784</c:v>
                </c:pt>
                <c:pt idx="339">
                  <c:v>-6.6298070665880644</c:v>
                </c:pt>
                <c:pt idx="340">
                  <c:v>-6.3273726515248692</c:v>
                </c:pt>
                <c:pt idx="341">
                  <c:v>-6.0230108574573986</c:v>
                </c:pt>
                <c:pt idx="342">
                  <c:v>-5.716814395936531</c:v>
                </c:pt>
                <c:pt idx="343">
                  <c:v>-5.4088765373706371</c:v>
                </c:pt>
                <c:pt idx="344">
                  <c:v>-5.0992910826144806</c:v>
                </c:pt>
                <c:pt idx="345">
                  <c:v>-4.7881523343966323</c:v>
                </c:pt>
                <c:pt idx="346">
                  <c:v>-4.4755550685938559</c:v>
                </c:pt>
                <c:pt idx="347">
                  <c:v>-4.1615945053615091</c:v>
                </c:pt>
                <c:pt idx="348">
                  <c:v>-3.8463662801285574</c:v>
                </c:pt>
                <c:pt idx="349">
                  <c:v>-3.5299664144660765</c:v>
                </c:pt>
                <c:pt idx="350">
                  <c:v>-3.2124912868382123</c:v>
                </c:pt>
                <c:pt idx="351">
                  <c:v>-2.8940376032442758</c:v>
                </c:pt>
                <c:pt idx="352">
                  <c:v>-2.5747023677612186</c:v>
                </c:pt>
                <c:pt idx="353">
                  <c:v>-2.2545828529952239</c:v>
                </c:pt>
                <c:pt idx="354">
                  <c:v>-1.9337765704515881</c:v>
                </c:pt>
                <c:pt idx="355">
                  <c:v>-1.6123812408316789</c:v>
                </c:pt>
                <c:pt idx="356">
                  <c:v>-1.2904947642663243</c:v>
                </c:pt>
                <c:pt idx="357">
                  <c:v>-0.9682151904944708</c:v>
                </c:pt>
                <c:pt idx="358">
                  <c:v>-0.64564068899626526</c:v>
                </c:pt>
                <c:pt idx="359">
                  <c:v>-0.32286951908974587</c:v>
                </c:pt>
                <c:pt idx="360">
                  <c:v>-4.533049283161894E-15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4-4084-8747-AEE6F4B2B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260800"/>
        <c:axId val="821395968"/>
      </c:scatterChart>
      <c:valAx>
        <c:axId val="10002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1395968"/>
        <c:crosses val="autoZero"/>
        <c:crossBetween val="midCat"/>
      </c:valAx>
      <c:valAx>
        <c:axId val="8213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02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에피사이클로이드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'에피,하이포'!$E$2:$E$362</c:f>
              <c:numCache>
                <c:formatCode>General</c:formatCode>
                <c:ptCount val="361"/>
                <c:pt idx="0">
                  <c:v>10</c:v>
                </c:pt>
                <c:pt idx="1">
                  <c:v>10.009128551140149</c:v>
                </c:pt>
                <c:pt idx="2">
                  <c:v>10.036394722761537</c:v>
                </c:pt>
                <c:pt idx="3">
                  <c:v>10.081441384464579</c:v>
                </c:pt>
                <c:pt idx="4">
                  <c:v>10.143677687832687</c:v>
                </c:pt>
                <c:pt idx="5">
                  <c:v>10.222285569532071</c:v>
                </c:pt>
                <c:pt idx="6">
                  <c:v>10.316228755669384</c:v>
                </c:pt>
                <c:pt idx="7">
                  <c:v>10.424264168741075</c:v>
                </c:pt>
                <c:pt idx="8">
                  <c:v>10.544955612181129</c:v>
                </c:pt>
                <c:pt idx="9">
                  <c:v>10.676689582556707</c:v>
                </c:pt>
                <c:pt idx="10">
                  <c:v>10.817693036146496</c:v>
                </c:pt>
                <c:pt idx="11">
                  <c:v>10.966052915220368</c:v>
                </c:pt>
                <c:pt idx="12">
                  <c:v>11.119737220055773</c:v>
                </c:pt>
                <c:pt idx="13">
                  <c:v>11.276617395787303</c:v>
                </c:pt>
                <c:pt idx="14">
                  <c:v>11.434491788776651</c:v>
                </c:pt>
                <c:pt idx="15">
                  <c:v>11.59110991546882</c:v>
                </c:pt>
                <c:pt idx="16">
                  <c:v>11.744197277795134</c:v>
                </c:pt>
                <c:pt idx="17">
                  <c:v>11.891480453191944</c:v>
                </c:pt>
                <c:pt idx="18">
                  <c:v>12.030712184291737</c:v>
                </c:pt>
                <c:pt idx="19">
                  <c:v>12.159696193343402</c:v>
                </c:pt>
                <c:pt idx="20">
                  <c:v>12.276311449430901</c:v>
                </c:pt>
                <c:pt idx="21">
                  <c:v>12.378535622551368</c:v>
                </c:pt>
                <c:pt idx="22">
                  <c:v>12.464467467519166</c:v>
                </c:pt>
                <c:pt idx="23">
                  <c:v>12.532347892384072</c:v>
                </c:pt>
                <c:pt idx="24">
                  <c:v>12.580579480461106</c:v>
                </c:pt>
                <c:pt idx="25">
                  <c:v>12.607744252008676</c:v>
                </c:pt>
                <c:pt idx="26">
                  <c:v>12.612619470875208</c:v>
                </c:pt>
                <c:pt idx="27">
                  <c:v>12.594191322850723</c:v>
                </c:pt>
                <c:pt idx="28">
                  <c:v>12.551666315774735</c:v>
                </c:pt>
                <c:pt idx="29">
                  <c:v>12.484480276409295</c:v>
                </c:pt>
                <c:pt idx="30">
                  <c:v>12.392304845413264</c:v>
                </c:pt>
                <c:pt idx="31">
                  <c:v>12.275051399161894</c:v>
                </c:pt>
                <c:pt idx="32">
                  <c:v>12.132872355344723</c:v>
                </c:pt>
                <c:pt idx="33">
                  <c:v>11.966159847935396</c:v>
                </c:pt>
                <c:pt idx="34">
                  <c:v>11.775541785945702</c:v>
                </c:pt>
                <c:pt idx="35">
                  <c:v>11.561875339036778</c:v>
                </c:pt>
                <c:pt idx="36">
                  <c:v>11.326237921249264</c:v>
                </c:pt>
                <c:pt idx="37">
                  <c:v>11.069915771522302</c:v>
                </c:pt>
                <c:pt idx="38">
                  <c:v>10.79439025599838</c:v>
                </c:pt>
                <c:pt idx="39">
                  <c:v>10.501322042068598</c:v>
                </c:pt>
                <c:pt idx="40">
                  <c:v>10.192533317427738</c:v>
                </c:pt>
                <c:pt idx="41">
                  <c:v>9.869988248824864</c:v>
                </c:pt>
                <c:pt idx="42">
                  <c:v>9.5357718944786267</c:v>
                </c:pt>
                <c:pt idx="43">
                  <c:v>9.1920678010655639</c:v>
                </c:pt>
                <c:pt idx="44">
                  <c:v>8.841134530599124</c:v>
                </c:pt>
                <c:pt idx="45">
                  <c:v>8.4852813742385713</c:v>
                </c:pt>
                <c:pt idx="46">
                  <c:v>8.1268435189726596</c:v>
                </c:pt>
                <c:pt idx="47">
                  <c:v>7.768156939114462</c:v>
                </c:pt>
                <c:pt idx="48">
                  <c:v>7.4115332875564039</c:v>
                </c:pt>
                <c:pt idx="49">
                  <c:v>7.0592350617344879</c:v>
                </c:pt>
                <c:pt idx="50">
                  <c:v>6.7134513162384728</c:v>
                </c:pt>
                <c:pt idx="51">
                  <c:v>6.3762741880131042</c:v>
                </c:pt>
                <c:pt idx="52">
                  <c:v>6.0496764911901835</c:v>
                </c:pt>
                <c:pt idx="53">
                  <c:v>5.7354906268697929</c:v>
                </c:pt>
                <c:pt idx="54">
                  <c:v>5.4353890387597827</c:v>
                </c:pt>
                <c:pt idx="55">
                  <c:v>5.1508664286436767</c:v>
                </c:pt>
                <c:pt idx="56">
                  <c:v>4.88322392636376</c:v>
                </c:pt>
                <c:pt idx="57">
                  <c:v>4.6335553875900182</c:v>
                </c:pt>
                <c:pt idx="58">
                  <c:v>4.4027359693308474</c:v>
                </c:pt>
                <c:pt idx="59">
                  <c:v>4.1914131081841024</c:v>
                </c:pt>
                <c:pt idx="60">
                  <c:v>4.0000000000000018</c:v>
                </c:pt>
                <c:pt idx="61">
                  <c:v>3.8286716522194979</c:v>
                </c:pt>
                <c:pt idx="62">
                  <c:v>3.6773635519630794</c:v>
                </c:pt>
                <c:pt idx="63">
                  <c:v>3.5457729642842546</c:v>
                </c:pt>
                <c:pt idx="64">
                  <c:v>3.4333628461837282</c:v>
                </c:pt>
                <c:pt idx="65">
                  <c:v>3.3393683333195159</c:v>
                </c:pt>
                <c:pt idx="66">
                  <c:v>3.2628057281597078</c:v>
                </c:pt>
                <c:pt idx="67">
                  <c:v>3.202483890916497</c:v>
                </c:pt>
                <c:pt idx="68">
                  <c:v>3.1570179082732284</c:v>
                </c:pt>
                <c:pt idx="69">
                  <c:v>3.1248448899586574</c:v>
                </c:pt>
                <c:pt idx="70">
                  <c:v>3.1042417199080248</c:v>
                </c:pt>
                <c:pt idx="71">
                  <c:v>3.0933445673342792</c:v>
                </c:pt>
                <c:pt idx="72">
                  <c:v>3.0901699437494741</c:v>
                </c:pt>
                <c:pt idx="73">
                  <c:v>3.0926370750373233</c:v>
                </c:pt>
                <c:pt idx="74">
                  <c:v>3.0985913432686831</c:v>
                </c:pt>
                <c:pt idx="75">
                  <c:v>3.1058285412302484</c:v>
                </c:pt>
                <c:pt idx="76">
                  <c:v>3.1121196737313195</c:v>
                </c:pt>
                <c:pt idx="77">
                  <c:v>3.1152360337618994</c:v>
                </c:pt>
                <c:pt idx="78">
                  <c:v>3.1129742785630077</c:v>
                </c:pt>
                <c:pt idx="79">
                  <c:v>3.1031812306701396</c:v>
                </c:pt>
                <c:pt idx="80">
                  <c:v>3.0837781320031636</c:v>
                </c:pt>
                <c:pt idx="81">
                  <c:v>3.0527840850677168</c:v>
                </c:pt>
                <c:pt idx="82">
                  <c:v>3.0083384242385023</c:v>
                </c:pt>
                <c:pt idx="83">
                  <c:v>2.9487217718165573</c:v>
                </c:pt>
                <c:pt idx="84">
                  <c:v>2.8723755479617359</c:v>
                </c:pt>
                <c:pt idx="85">
                  <c:v>2.7779197205407753</c:v>
                </c:pt>
                <c:pt idx="86">
                  <c:v>2.6641686002147051</c:v>
                </c:pt>
                <c:pt idx="87">
                  <c:v>2.5301445075056344</c:v>
                </c:pt>
                <c:pt idx="88">
                  <c:v>2.3750891618976238</c:v>
                </c:pt>
                <c:pt idx="89">
                  <c:v>2.1984726679839497</c:v>
                </c:pt>
                <c:pt idx="90">
                  <c:v>2.0000000000000009</c:v>
                </c:pt>
                <c:pt idx="91">
                  <c:v>1.7796149134891448</c:v>
                </c:pt>
                <c:pt idx="92">
                  <c:v>1.5375012410375994</c:v>
                </c:pt>
                <c:pt idx="93">
                  <c:v>1.2740815576749811</c:v>
                </c:pt>
                <c:pt idx="94">
                  <c:v>0.99001323035569755</c:v>
                </c:pt>
                <c:pt idx="95">
                  <c:v>0.68618189459697776</c:v>
                </c:pt>
                <c:pt idx="96">
                  <c:v>0.36369242953805259</c:v>
                </c:pt>
                <c:pt idx="97">
                  <c:v>2.3857530093019941E-2</c:v>
                </c:pt>
                <c:pt idx="98">
                  <c:v>-0.33181599880306645</c:v>
                </c:pt>
                <c:pt idx="99">
                  <c:v>-0.70164307589782271</c:v>
                </c:pt>
                <c:pt idx="100">
                  <c:v>-1.0837781320031641</c:v>
                </c:pt>
                <c:pt idx="101">
                  <c:v>-1.4762346583669352</c:v>
                </c:pt>
                <c:pt idx="102">
                  <c:v>-1.8769063010632161</c:v>
                </c:pt>
                <c:pt idx="103">
                  <c:v>-2.2835892704908618</c:v>
                </c:pt>
                <c:pt idx="104">
                  <c:v>-2.694005820660708</c:v>
                </c:pt>
                <c:pt idx="105">
                  <c:v>-3.1058285412302529</c:v>
                </c:pt>
                <c:pt idx="106">
                  <c:v>-3.5167051963392923</c:v>
                </c:pt>
                <c:pt idx="107">
                  <c:v>-3.9242838383083565</c:v>
                </c:pt>
                <c:pt idx="108">
                  <c:v>-4.3262379212492625</c:v>
                </c:pt>
                <c:pt idx="109">
                  <c:v>-4.7202911396374798</c:v>
                </c:pt>
                <c:pt idx="110">
                  <c:v>-5.1042417199080266</c:v>
                </c:pt>
                <c:pt idx="111">
                  <c:v>-5.4759858991285491</c:v>
                </c:pt>
                <c:pt idx="112">
                  <c:v>-5.8335403337086618</c:v>
                </c:pt>
                <c:pt idx="113">
                  <c:v>-6.1750631928260749</c:v>
                </c:pt>
                <c:pt idx="114">
                  <c:v>-6.4988737056594976</c:v>
                </c:pt>
                <c:pt idx="115">
                  <c:v>-6.8034699484572698</c:v>
                </c:pt>
                <c:pt idx="116">
                  <c:v>-7.087544676754133</c:v>
                </c:pt>
                <c:pt idx="117">
                  <c:v>-7.3499990294648665</c:v>
                </c:pt>
                <c:pt idx="118">
                  <c:v>-7.589953954898303</c:v>
                </c:pt>
                <c:pt idx="119">
                  <c:v>-7.8067592336925902</c:v>
                </c:pt>
                <c:pt idx="120">
                  <c:v>-7.9999999999999973</c:v>
                </c:pt>
                <c:pt idx="121">
                  <c:v>-8.1695006896571982</c:v>
                </c:pt>
                <c:pt idx="122">
                  <c:v>-8.3153263722660693</c:v>
                </c:pt>
                <c:pt idx="123">
                  <c:v>-8.4377814527706327</c:v>
                </c:pt>
                <c:pt idx="124">
                  <c:v>-8.537405756934163</c:v>
                </c:pt>
                <c:pt idx="125">
                  <c:v>-8.6149680437814311</c:v>
                </c:pt>
                <c:pt idx="126">
                  <c:v>-8.6714570162595717</c:v>
                </c:pt>
                <c:pt idx="127">
                  <c:v>-8.7080699287793681</c:v>
                </c:pt>
                <c:pt idx="128">
                  <c:v>-8.7261989166256146</c:v>
                </c:pt>
                <c:pt idx="129">
                  <c:v>-8.7274151971829976</c:v>
                </c:pt>
                <c:pt idx="130">
                  <c:v>-8.7134513162384728</c:v>
                </c:pt>
                <c:pt idx="131">
                  <c:v>-8.6861816340376876</c:v>
                </c:pt>
                <c:pt idx="132">
                  <c:v>-8.6476012650561955</c:v>
                </c:pt>
                <c:pt idx="133">
                  <c:v>-8.5998037023855005</c:v>
                </c:pt>
                <c:pt idx="134">
                  <c:v>-8.5449573720432745</c:v>
                </c:pt>
                <c:pt idx="135">
                  <c:v>-8.4852813742385713</c:v>
                </c:pt>
                <c:pt idx="136">
                  <c:v>-8.4230206775285037</c:v>
                </c:pt>
                <c:pt idx="137">
                  <c:v>-8.3604210377945307</c:v>
                </c:pt>
                <c:pt idx="138">
                  <c:v>-8.2997039169788351</c:v>
                </c:pt>
                <c:pt idx="139">
                  <c:v>-8.2430416765216634</c:v>
                </c:pt>
                <c:pt idx="140">
                  <c:v>-8.1925333174277366</c:v>
                </c:pt>
                <c:pt idx="141">
                  <c:v>-8.1501810328987023</c:v>
                </c:pt>
                <c:pt idx="142">
                  <c:v>-8.1178678305629504</c:v>
                </c:pt>
                <c:pt idx="143">
                  <c:v>-8.0973364696127259</c:v>
                </c:pt>
                <c:pt idx="144">
                  <c:v>-8.0901699437494727</c:v>
                </c:pt>
                <c:pt idx="145">
                  <c:v>-8.0977737238990262</c:v>
                </c:pt>
                <c:pt idx="146">
                  <c:v>-8.1213599553752971</c:v>
                </c:pt>
                <c:pt idx="147">
                  <c:v>-8.1619337827547813</c:v>
                </c:pt>
                <c:pt idx="148">
                  <c:v>-8.2202819524095005</c:v>
                </c:pt>
                <c:pt idx="149">
                  <c:v>-8.2969638176888001</c:v>
                </c:pt>
                <c:pt idx="150">
                  <c:v>-8.392304845413264</c:v>
                </c:pt>
                <c:pt idx="151">
                  <c:v>-8.506392694936201</c:v>
                </c:pt>
                <c:pt idx="152">
                  <c:v>-8.6390759128395125</c:v>
                </c:pt>
                <c:pt idx="153">
                  <c:v>-8.7899652576701044</c:v>
                </c:pt>
                <c:pt idx="154">
                  <c:v>-8.9584376403048047</c:v>
                </c:pt>
                <c:pt idx="155">
                  <c:v>-9.1436426368709203</c:v>
                </c:pt>
                <c:pt idx="156">
                  <c:v>-9.3445115029613142</c:v>
                </c:pt>
                <c:pt idx="157">
                  <c:v>-9.559768590474496</c:v>
                </c:pt>
                <c:pt idx="158">
                  <c:v>-9.7879450420837308</c:v>
                </c:pt>
                <c:pt idx="159">
                  <c:v>-10.027394613381476</c:v>
                </c:pt>
                <c:pt idx="160">
                  <c:v>-10.276311449430896</c:v>
                </c:pt>
                <c:pt idx="161">
                  <c:v>-10.532749621040205</c:v>
                </c:pt>
                <c:pt idx="162">
                  <c:v>-10.794644206791945</c:v>
                </c:pt>
                <c:pt idx="163">
                  <c:v>-11.059833689920907</c:v>
                </c:pt>
                <c:pt idx="164">
                  <c:v>-11.326083424724521</c:v>
                </c:pt>
                <c:pt idx="165">
                  <c:v>-11.591109915468813</c:v>
                </c:pt>
                <c:pt idx="166">
                  <c:v>-11.852605641847262</c:v>
                </c:pt>
                <c:pt idx="167">
                  <c:v>-12.108264159058336</c:v>
                </c:pt>
                <c:pt idx="168">
                  <c:v>-12.355805197555561</c:v>
                </c:pt>
                <c:pt idx="169">
                  <c:v>-12.592999487523569</c:v>
                </c:pt>
                <c:pt idx="170">
                  <c:v>-12.817693036146498</c:v>
                </c:pt>
                <c:pt idx="171">
                  <c:v>-13.0278305917266</c:v>
                </c:pt>
                <c:pt idx="172">
                  <c:v>-13.221478037616563</c:v>
                </c:pt>
                <c:pt idx="173">
                  <c:v>-13.39684347065065</c:v>
                </c:pt>
                <c:pt idx="174">
                  <c:v>-13.552296733169172</c:v>
                </c:pt>
                <c:pt idx="175">
                  <c:v>-13.686387184669824</c:v>
                </c:pt>
                <c:pt idx="176">
                  <c:v>-13.797859518403088</c:v>
                </c:pt>
                <c:pt idx="177">
                  <c:v>-13.885667449645194</c:v>
                </c:pt>
                <c:pt idx="178">
                  <c:v>-13.948985125696758</c:v>
                </c:pt>
                <c:pt idx="179">
                  <c:v>-13.987216132613243</c:v>
                </c:pt>
                <c:pt idx="180">
                  <c:v>-14</c:v>
                </c:pt>
                <c:pt idx="181">
                  <c:v>-13.987216132613243</c:v>
                </c:pt>
                <c:pt idx="182">
                  <c:v>-13.94898512569676</c:v>
                </c:pt>
                <c:pt idx="183">
                  <c:v>-13.885667449645196</c:v>
                </c:pt>
                <c:pt idx="184">
                  <c:v>-13.79785951840309</c:v>
                </c:pt>
                <c:pt idx="185">
                  <c:v>-13.686387184669826</c:v>
                </c:pt>
                <c:pt idx="186">
                  <c:v>-13.552296733169175</c:v>
                </c:pt>
                <c:pt idx="187">
                  <c:v>-13.396843470650653</c:v>
                </c:pt>
                <c:pt idx="188">
                  <c:v>-13.22147803761656</c:v>
                </c:pt>
                <c:pt idx="189">
                  <c:v>-13.027830591726604</c:v>
                </c:pt>
                <c:pt idx="190">
                  <c:v>-12.817693036146492</c:v>
                </c:pt>
                <c:pt idx="191">
                  <c:v>-12.592999487523571</c:v>
                </c:pt>
                <c:pt idx="192">
                  <c:v>-12.355805197555563</c:v>
                </c:pt>
                <c:pt idx="193">
                  <c:v>-12.108264159058342</c:v>
                </c:pt>
                <c:pt idx="194">
                  <c:v>-11.852605641847264</c:v>
                </c:pt>
                <c:pt idx="195">
                  <c:v>-11.591109915468818</c:v>
                </c:pt>
                <c:pt idx="196">
                  <c:v>-11.326083424724525</c:v>
                </c:pt>
                <c:pt idx="197">
                  <c:v>-11.059833689920902</c:v>
                </c:pt>
                <c:pt idx="198">
                  <c:v>-10.794644206791951</c:v>
                </c:pt>
                <c:pt idx="199">
                  <c:v>-10.532749621040201</c:v>
                </c:pt>
                <c:pt idx="200">
                  <c:v>-10.276311449430901</c:v>
                </c:pt>
                <c:pt idx="201">
                  <c:v>-10.027394613381473</c:v>
                </c:pt>
                <c:pt idx="202">
                  <c:v>-9.7879450420837362</c:v>
                </c:pt>
                <c:pt idx="203">
                  <c:v>-9.5597685904744978</c:v>
                </c:pt>
                <c:pt idx="204">
                  <c:v>-9.3445115029613177</c:v>
                </c:pt>
                <c:pt idx="205">
                  <c:v>-9.1436426368709238</c:v>
                </c:pt>
                <c:pt idx="206">
                  <c:v>-8.9584376403048012</c:v>
                </c:pt>
                <c:pt idx="207">
                  <c:v>-8.7899652576701079</c:v>
                </c:pt>
                <c:pt idx="208">
                  <c:v>-8.6390759128395107</c:v>
                </c:pt>
                <c:pt idx="209">
                  <c:v>-8.5063926949362028</c:v>
                </c:pt>
                <c:pt idx="210">
                  <c:v>-8.392304845413264</c:v>
                </c:pt>
                <c:pt idx="211">
                  <c:v>-8.2969638176888001</c:v>
                </c:pt>
                <c:pt idx="212">
                  <c:v>-8.2202819524094988</c:v>
                </c:pt>
                <c:pt idx="213">
                  <c:v>-8.1619337827547813</c:v>
                </c:pt>
                <c:pt idx="214">
                  <c:v>-8.1213599553752971</c:v>
                </c:pt>
                <c:pt idx="215">
                  <c:v>-8.0977737238990226</c:v>
                </c:pt>
                <c:pt idx="216">
                  <c:v>-8.0901699437494763</c:v>
                </c:pt>
                <c:pt idx="217">
                  <c:v>-8.0973364696127241</c:v>
                </c:pt>
                <c:pt idx="218">
                  <c:v>-8.1178678305629486</c:v>
                </c:pt>
                <c:pt idx="219">
                  <c:v>-8.1501810328987041</c:v>
                </c:pt>
                <c:pt idx="220">
                  <c:v>-8.1925333174277384</c:v>
                </c:pt>
                <c:pt idx="221">
                  <c:v>-8.2430416765216616</c:v>
                </c:pt>
                <c:pt idx="222">
                  <c:v>-8.2997039169788351</c:v>
                </c:pt>
                <c:pt idx="223">
                  <c:v>-8.3604210377945272</c:v>
                </c:pt>
                <c:pt idx="224">
                  <c:v>-8.4230206775285072</c:v>
                </c:pt>
                <c:pt idx="225">
                  <c:v>-8.485281374238566</c:v>
                </c:pt>
                <c:pt idx="226">
                  <c:v>-8.5449573720432763</c:v>
                </c:pt>
                <c:pt idx="227">
                  <c:v>-8.5998037023854987</c:v>
                </c:pt>
                <c:pt idx="228">
                  <c:v>-8.6476012650561902</c:v>
                </c:pt>
                <c:pt idx="229">
                  <c:v>-8.6861816340376876</c:v>
                </c:pt>
                <c:pt idx="230">
                  <c:v>-8.7134513162384746</c:v>
                </c:pt>
                <c:pt idx="231">
                  <c:v>-8.7274151971829959</c:v>
                </c:pt>
                <c:pt idx="232">
                  <c:v>-8.7261989166256146</c:v>
                </c:pt>
                <c:pt idx="233">
                  <c:v>-8.7080699287793699</c:v>
                </c:pt>
                <c:pt idx="234">
                  <c:v>-8.6714570162595717</c:v>
                </c:pt>
                <c:pt idx="235">
                  <c:v>-8.6149680437814293</c:v>
                </c:pt>
                <c:pt idx="236">
                  <c:v>-8.537405756934163</c:v>
                </c:pt>
                <c:pt idx="237">
                  <c:v>-8.437781452770631</c:v>
                </c:pt>
                <c:pt idx="238">
                  <c:v>-8.3153263722660711</c:v>
                </c:pt>
                <c:pt idx="239">
                  <c:v>-8.1695006896572</c:v>
                </c:pt>
                <c:pt idx="240">
                  <c:v>-8.0000000000000053</c:v>
                </c:pt>
                <c:pt idx="241">
                  <c:v>-7.8067592336925893</c:v>
                </c:pt>
                <c:pt idx="242">
                  <c:v>-7.5899539548983004</c:v>
                </c:pt>
                <c:pt idx="243">
                  <c:v>-7.3499990294648692</c:v>
                </c:pt>
                <c:pt idx="244">
                  <c:v>-7.0875446767541357</c:v>
                </c:pt>
                <c:pt idx="245">
                  <c:v>-6.8034699484572645</c:v>
                </c:pt>
                <c:pt idx="246">
                  <c:v>-6.4988737056594932</c:v>
                </c:pt>
                <c:pt idx="247">
                  <c:v>-6.1750631928260749</c:v>
                </c:pt>
                <c:pt idx="248">
                  <c:v>-5.8335403337086689</c:v>
                </c:pt>
                <c:pt idx="249">
                  <c:v>-5.4759858991285597</c:v>
                </c:pt>
                <c:pt idx="250">
                  <c:v>-5.1042417199080203</c:v>
                </c:pt>
                <c:pt idx="251">
                  <c:v>-4.7202911396374834</c:v>
                </c:pt>
                <c:pt idx="252">
                  <c:v>-4.3262379212492679</c:v>
                </c:pt>
                <c:pt idx="253">
                  <c:v>-3.9242838383083649</c:v>
                </c:pt>
                <c:pt idx="254">
                  <c:v>-3.5167051963392932</c:v>
                </c:pt>
                <c:pt idx="255">
                  <c:v>-3.1058285412302462</c:v>
                </c:pt>
                <c:pt idx="256">
                  <c:v>-2.6940058206607036</c:v>
                </c:pt>
                <c:pt idx="257">
                  <c:v>-2.2835892704908671</c:v>
                </c:pt>
                <c:pt idx="258">
                  <c:v>-1.8769063010632312</c:v>
                </c:pt>
                <c:pt idx="259">
                  <c:v>-1.4762346583669292</c:v>
                </c:pt>
                <c:pt idx="260">
                  <c:v>-1.0837781320031639</c:v>
                </c:pt>
                <c:pt idx="261">
                  <c:v>-0.7016430758978307</c:v>
                </c:pt>
                <c:pt idx="262">
                  <c:v>-0.33181599880307666</c:v>
                </c:pt>
                <c:pt idx="263">
                  <c:v>2.3857530093024826E-2</c:v>
                </c:pt>
                <c:pt idx="264">
                  <c:v>0.36369242953805325</c:v>
                </c:pt>
                <c:pt idx="265">
                  <c:v>0.68618189459697776</c:v>
                </c:pt>
                <c:pt idx="266">
                  <c:v>0.990013230355695</c:v>
                </c:pt>
                <c:pt idx="267">
                  <c:v>1.2740815576749736</c:v>
                </c:pt>
                <c:pt idx="268">
                  <c:v>1.5375012410376026</c:v>
                </c:pt>
                <c:pt idx="269">
                  <c:v>1.779614913489145</c:v>
                </c:pt>
                <c:pt idx="270">
                  <c:v>1.9999999999999978</c:v>
                </c:pt>
                <c:pt idx="271">
                  <c:v>2.1984726679839453</c:v>
                </c:pt>
                <c:pt idx="272">
                  <c:v>2.3750891618976251</c:v>
                </c:pt>
                <c:pt idx="273">
                  <c:v>2.5301445075056339</c:v>
                </c:pt>
                <c:pt idx="274">
                  <c:v>2.6641686002147065</c:v>
                </c:pt>
                <c:pt idx="275">
                  <c:v>2.7779197205407735</c:v>
                </c:pt>
                <c:pt idx="276">
                  <c:v>2.8723755479617319</c:v>
                </c:pt>
                <c:pt idx="277">
                  <c:v>2.9487217718165617</c:v>
                </c:pt>
                <c:pt idx="278">
                  <c:v>3.0083384242385018</c:v>
                </c:pt>
                <c:pt idx="279">
                  <c:v>3.0527840850677133</c:v>
                </c:pt>
                <c:pt idx="280">
                  <c:v>3.0837781320031636</c:v>
                </c:pt>
                <c:pt idx="281">
                  <c:v>3.1031812306701387</c:v>
                </c:pt>
                <c:pt idx="282">
                  <c:v>3.1129742785630032</c:v>
                </c:pt>
                <c:pt idx="283">
                  <c:v>3.1152360337618989</c:v>
                </c:pt>
                <c:pt idx="284">
                  <c:v>3.1121196737313235</c:v>
                </c:pt>
                <c:pt idx="285">
                  <c:v>3.1058285412302493</c:v>
                </c:pt>
                <c:pt idx="286">
                  <c:v>3.0985913432686836</c:v>
                </c:pt>
                <c:pt idx="287">
                  <c:v>3.0926370750373251</c:v>
                </c:pt>
                <c:pt idx="288">
                  <c:v>3.0901699437494741</c:v>
                </c:pt>
                <c:pt idx="289">
                  <c:v>3.0933445673342765</c:v>
                </c:pt>
                <c:pt idx="290">
                  <c:v>3.1042417199080283</c:v>
                </c:pt>
                <c:pt idx="291">
                  <c:v>3.1248448899586569</c:v>
                </c:pt>
                <c:pt idx="292">
                  <c:v>3.1570179082732253</c:v>
                </c:pt>
                <c:pt idx="293">
                  <c:v>3.2024838909164952</c:v>
                </c:pt>
                <c:pt idx="294">
                  <c:v>3.2628057281597078</c:v>
                </c:pt>
                <c:pt idx="295">
                  <c:v>3.3393683333195145</c:v>
                </c:pt>
                <c:pt idx="296">
                  <c:v>3.4333628461837273</c:v>
                </c:pt>
                <c:pt idx="297">
                  <c:v>3.5457729642842537</c:v>
                </c:pt>
                <c:pt idx="298">
                  <c:v>3.677363551963075</c:v>
                </c:pt>
                <c:pt idx="299">
                  <c:v>3.8286716522195006</c:v>
                </c:pt>
                <c:pt idx="300">
                  <c:v>4.0000000000000018</c:v>
                </c:pt>
                <c:pt idx="301">
                  <c:v>4.1914131081841024</c:v>
                </c:pt>
                <c:pt idx="302">
                  <c:v>4.4027359693308448</c:v>
                </c:pt>
                <c:pt idx="303">
                  <c:v>4.6335553875900111</c:v>
                </c:pt>
                <c:pt idx="304">
                  <c:v>4.8832239263637636</c:v>
                </c:pt>
                <c:pt idx="305">
                  <c:v>5.1508664286436767</c:v>
                </c:pt>
                <c:pt idx="306">
                  <c:v>5.4353890387597747</c:v>
                </c:pt>
                <c:pt idx="307">
                  <c:v>5.7354906268697805</c:v>
                </c:pt>
                <c:pt idx="308">
                  <c:v>6.0496764911901906</c:v>
                </c:pt>
                <c:pt idx="309">
                  <c:v>6.3762741880130989</c:v>
                </c:pt>
                <c:pt idx="310">
                  <c:v>6.7134513162384666</c:v>
                </c:pt>
                <c:pt idx="311">
                  <c:v>7.0592350617344808</c:v>
                </c:pt>
                <c:pt idx="312">
                  <c:v>7.411533287556396</c:v>
                </c:pt>
                <c:pt idx="313">
                  <c:v>7.7681569391144629</c:v>
                </c:pt>
                <c:pt idx="314">
                  <c:v>8.1268435189726596</c:v>
                </c:pt>
                <c:pt idx="315">
                  <c:v>8.4852813742385695</c:v>
                </c:pt>
                <c:pt idx="316">
                  <c:v>8.8411345305991187</c:v>
                </c:pt>
                <c:pt idx="317">
                  <c:v>9.192067801065571</c:v>
                </c:pt>
                <c:pt idx="318">
                  <c:v>9.5357718944786303</c:v>
                </c:pt>
                <c:pt idx="319">
                  <c:v>9.8699882488248676</c:v>
                </c:pt>
                <c:pt idx="320">
                  <c:v>10.192533317427726</c:v>
                </c:pt>
                <c:pt idx="321">
                  <c:v>10.501322042068589</c:v>
                </c:pt>
                <c:pt idx="322">
                  <c:v>10.794390255998389</c:v>
                </c:pt>
                <c:pt idx="323">
                  <c:v>11.0699157715223</c:v>
                </c:pt>
                <c:pt idx="324">
                  <c:v>11.326237921249261</c:v>
                </c:pt>
                <c:pt idx="325">
                  <c:v>11.561875339036776</c:v>
                </c:pt>
                <c:pt idx="326">
                  <c:v>11.775541785945704</c:v>
                </c:pt>
                <c:pt idx="327">
                  <c:v>11.966159847935396</c:v>
                </c:pt>
                <c:pt idx="328">
                  <c:v>12.132872355344723</c:v>
                </c:pt>
                <c:pt idx="329">
                  <c:v>12.275051399161891</c:v>
                </c:pt>
                <c:pt idx="330">
                  <c:v>12.39230484541326</c:v>
                </c:pt>
                <c:pt idx="331">
                  <c:v>12.484480276409297</c:v>
                </c:pt>
                <c:pt idx="332">
                  <c:v>12.551666315774735</c:v>
                </c:pt>
                <c:pt idx="333">
                  <c:v>12.594191322850723</c:v>
                </c:pt>
                <c:pt idx="334">
                  <c:v>12.612619470875206</c:v>
                </c:pt>
                <c:pt idx="335">
                  <c:v>12.607744252008679</c:v>
                </c:pt>
                <c:pt idx="336">
                  <c:v>12.580579480461108</c:v>
                </c:pt>
                <c:pt idx="337">
                  <c:v>12.532347892384072</c:v>
                </c:pt>
                <c:pt idx="338">
                  <c:v>12.464467467519164</c:v>
                </c:pt>
                <c:pt idx="339">
                  <c:v>12.378535622551363</c:v>
                </c:pt>
                <c:pt idx="340">
                  <c:v>12.276311449430899</c:v>
                </c:pt>
                <c:pt idx="341">
                  <c:v>12.159696193343398</c:v>
                </c:pt>
                <c:pt idx="342">
                  <c:v>12.030712184291733</c:v>
                </c:pt>
                <c:pt idx="343">
                  <c:v>11.891480453191949</c:v>
                </c:pt>
                <c:pt idx="344">
                  <c:v>11.744197277795127</c:v>
                </c:pt>
                <c:pt idx="345">
                  <c:v>11.591109915468813</c:v>
                </c:pt>
                <c:pt idx="346">
                  <c:v>11.434491788776656</c:v>
                </c:pt>
                <c:pt idx="347">
                  <c:v>11.276617395787307</c:v>
                </c:pt>
                <c:pt idx="348">
                  <c:v>11.119737220055775</c:v>
                </c:pt>
                <c:pt idx="349">
                  <c:v>10.96605291522037</c:v>
                </c:pt>
                <c:pt idx="350">
                  <c:v>10.817693036146496</c:v>
                </c:pt>
                <c:pt idx="351">
                  <c:v>10.676689582556705</c:v>
                </c:pt>
                <c:pt idx="352">
                  <c:v>10.544955612181136</c:v>
                </c:pt>
                <c:pt idx="353">
                  <c:v>10.424264168741075</c:v>
                </c:pt>
                <c:pt idx="354">
                  <c:v>10.316228755669382</c:v>
                </c:pt>
                <c:pt idx="355">
                  <c:v>10.222285569532074</c:v>
                </c:pt>
                <c:pt idx="356">
                  <c:v>10.143677687832691</c:v>
                </c:pt>
                <c:pt idx="357">
                  <c:v>10.081441384464581</c:v>
                </c:pt>
                <c:pt idx="358">
                  <c:v>10.036394722761539</c:v>
                </c:pt>
                <c:pt idx="359">
                  <c:v>10.009128551140151</c:v>
                </c:pt>
                <c:pt idx="360">
                  <c:v>10</c:v>
                </c:pt>
              </c:numCache>
            </c:numRef>
          </c:xVal>
          <c:yVal>
            <c:numRef>
              <c:f>'에피,하이포'!$F$2:$F$362</c:f>
              <c:numCache>
                <c:formatCode>General</c:formatCode>
                <c:ptCount val="361"/>
                <c:pt idx="0">
                  <c:v>0</c:v>
                </c:pt>
                <c:pt idx="1">
                  <c:v>3.7195071209519814E-4</c:v>
                </c:pt>
                <c:pt idx="2">
                  <c:v>2.9705787944929174E-3</c:v>
                </c:pt>
                <c:pt idx="3">
                  <c:v>9.9974861654311686E-3</c:v>
                </c:pt>
                <c:pt idx="4">
                  <c:v>2.3604398777903213E-2</c:v>
                </c:pt>
                <c:pt idx="5">
                  <c:v>4.5868912971898212E-2</c:v>
                </c:pt>
                <c:pt idx="6">
                  <c:v>7.8771054626895376E-2</c:v>
                </c:pt>
                <c:pt idx="7">
                  <c:v>0.12417090814405318</c:v>
                </c:pt>
                <c:pt idx="8">
                  <c:v>0.18378756056599688</c:v>
                </c:pt>
                <c:pt idx="9">
                  <c:v>0.25917959173287564</c:v>
                </c:pt>
                <c:pt idx="10">
                  <c:v>0.35172732443428689</c:v>
                </c:pt>
                <c:pt idx="11">
                  <c:v>0.46261702923333581</c:v>
                </c:pt>
                <c:pt idx="12">
                  <c:v>0.59282725722280483</c:v>
                </c:pt>
                <c:pt idx="13">
                  <c:v>0.74311745065876877</c:v>
                </c:pt>
                <c:pt idx="14">
                  <c:v>0.91401895645946629</c:v>
                </c:pt>
                <c:pt idx="15">
                  <c:v>1.1058285412302489</c:v>
                </c:pt>
                <c:pt idx="16">
                  <c:v>1.3186044790674436</c:v>
                </c:pt>
                <c:pt idx="17">
                  <c:v>1.5521652552052301</c:v>
                </c:pt>
                <c:pt idx="18">
                  <c:v>1.8060908999090612</c:v>
                </c:pt>
                <c:pt idx="19">
                  <c:v>2.0797269382006789</c:v>
                </c:pt>
                <c:pt idx="20">
                  <c:v>2.3721909123391471</c:v>
                </c:pt>
                <c:pt idx="21">
                  <c:v>2.6823814057937083</c:v>
                </c:pt>
                <c:pt idx="22">
                  <c:v>3.0089894700361555</c:v>
                </c:pt>
                <c:pt idx="23">
                  <c:v>3.350512329153569</c:v>
                </c:pt>
                <c:pt idx="24">
                  <c:v>3.705269212324656</c:v>
                </c:pt>
                <c:pt idx="25">
                  <c:v>4.0714191408883931</c:v>
                </c:pt>
                <c:pt idx="26">
                  <c:v>4.4469804753173285</c:v>
                </c:pt>
                <c:pt idx="27">
                  <c:v>4.8298520081246661</c:v>
                </c:pt>
                <c:pt idx="28">
                  <c:v>5.2178353717951715</c:v>
                </c:pt>
                <c:pt idx="29">
                  <c:v>5.6086585164207383</c:v>
                </c:pt>
                <c:pt idx="30">
                  <c:v>5.9999999999999991</c:v>
                </c:pt>
                <c:pt idx="31">
                  <c:v>6.3895138254559551</c:v>
                </c:pt>
                <c:pt idx="32">
                  <c:v>6.774854552433978</c:v>
                </c:pt>
                <c:pt idx="33">
                  <c:v>7.1537024089302204</c:v>
                </c:pt>
                <c:pt idx="34">
                  <c:v>7.5237881278005636</c:v>
                </c:pt>
                <c:pt idx="35">
                  <c:v>7.8829172362125517</c:v>
                </c:pt>
                <c:pt idx="36">
                  <c:v>8.2289935320946235</c:v>
                </c:pt>
                <c:pt idx="37">
                  <c:v>8.5600414905422966</c:v>
                </c:pt>
                <c:pt idx="38">
                  <c:v>8.874227354862688</c:v>
                </c:pt>
                <c:pt idx="39">
                  <c:v>9.169878681347944</c:v>
                </c:pt>
                <c:pt idx="40">
                  <c:v>9.4455021238073478</c:v>
                </c:pt>
                <c:pt idx="41">
                  <c:v>9.6997992631712897</c:v>
                </c:pt>
                <c:pt idx="42">
                  <c:v>9.9316803088966061</c:v>
                </c:pt>
                <c:pt idx="43">
                  <c:v>10.140275522217593</c:v>
                </c:pt>
                <c:pt idx="44">
                  <c:v>10.324944236244514</c:v>
                </c:pt>
                <c:pt idx="45">
                  <c:v>10.48528137423857</c:v>
                </c:pt>
                <c:pt idx="46">
                  <c:v>10.62112139480036</c:v>
                </c:pt>
                <c:pt idx="47">
                  <c:v>10.732539620897658</c:v>
                </c:pt>
                <c:pt idx="48">
                  <c:v>10.819850938319039</c:v>
                </c:pt>
                <c:pt idx="49">
                  <c:v>10.883605877958466</c:v>
                </c:pt>
                <c:pt idx="50">
                  <c:v>10.924584124996613</c:v>
                </c:pt>
                <c:pt idx="51">
                  <c:v>10.943785526233546</c:v>
                </c:pt>
                <c:pt idx="52">
                  <c:v>10.942418694235453</c:v>
                </c:pt>
                <c:pt idx="53">
                  <c:v>10.921887333285232</c:v>
                </c:pt>
                <c:pt idx="54">
                  <c:v>10.883774437084316</c:v>
                </c:pt>
                <c:pt idx="55">
                  <c:v>10.829824531467901</c:v>
                </c:pt>
                <c:pt idx="56">
                  <c:v>10.761924156812102</c:v>
                </c:pt>
                <c:pt idx="57">
                  <c:v>10.682080804094984</c:v>
                </c:pt>
                <c:pt idx="58">
                  <c:v>10.592400535512629</c:v>
                </c:pt>
                <c:pt idx="59">
                  <c:v>10.495064534960653</c:v>
                </c:pt>
                <c:pt idx="60">
                  <c:v>10.392304845413264</c:v>
                </c:pt>
                <c:pt idx="61">
                  <c:v>10.286379559137442</c:v>
                </c:pt>
                <c:pt idx="62">
                  <c:v>10.179547732671605</c:v>
                </c:pt>
                <c:pt idx="63">
                  <c:v>10.074044301510519</c:v>
                </c:pt>
                <c:pt idx="64">
                  <c:v>9.972055269438405</c:v>
                </c:pt>
                <c:pt idx="65">
                  <c:v>9.8756934444397988</c:v>
                </c:pt>
                <c:pt idx="66">
                  <c:v>9.7869749871262641</c:v>
                </c:pt>
                <c:pt idx="67">
                  <c:v>9.7077970287115676</c:v>
                </c:pt>
                <c:pt idx="68">
                  <c:v>9.6399166038466593</c:v>
                </c:pt>
                <c:pt idx="69">
                  <c:v>9.5849311292165265</c:v>
                </c:pt>
                <c:pt idx="70">
                  <c:v>9.5442606418620226</c:v>
                </c:pt>
                <c:pt idx="71">
                  <c:v>9.5191319919066011</c:v>
                </c:pt>
                <c:pt idx="72">
                  <c:v>9.5105651629515346</c:v>
                </c:pt>
                <c:pt idx="73">
                  <c:v>9.5193618700888134</c:v>
                </c:pt>
                <c:pt idx="74">
                  <c:v>9.5460965605232797</c:v>
                </c:pt>
                <c:pt idx="75">
                  <c:v>9.5911099154688202</c:v>
                </c:pt>
                <c:pt idx="76">
                  <c:v>9.6545049245754111</c:v>
                </c:pt>
                <c:pt idx="77">
                  <c:v>9.7361455759552111</c:v>
                </c:pt>
                <c:pt idx="78">
                  <c:v>9.8356581762153592</c:v>
                </c:pt>
                <c:pt idx="79">
                  <c:v>9.952435286086768</c:v>
                </c:pt>
                <c:pt idx="80">
                  <c:v>10.085642228577617</c:v>
                </c:pt>
                <c:pt idx="81">
                  <c:v>10.234226098391758</c:v>
                </c:pt>
                <c:pt idx="82">
                  <c:v>10.396927173944057</c:v>
                </c:pt>
                <c:pt idx="83">
                  <c:v>10.572292606978145</c:v>
                </c:pt>
                <c:pt idx="84">
                  <c:v>10.758692239834332</c:v>
                </c:pt>
                <c:pt idx="85">
                  <c:v>10.954336377100947</c:v>
                </c:pt>
                <c:pt idx="86">
                  <c:v>11.157295316966291</c:v>
                </c:pt>
                <c:pt idx="87">
                  <c:v>11.365520428304992</c:v>
                </c:pt>
                <c:pt idx="88">
                  <c:v>11.576866542593628</c:v>
                </c:pt>
                <c:pt idx="89">
                  <c:v>11.789115415341387</c:v>
                </c:pt>
                <c:pt idx="90">
                  <c:v>12</c:v>
                </c:pt>
                <c:pt idx="91">
                  <c:v>12.207229268412004</c:v>
                </c:pt>
                <c:pt idx="92">
                  <c:v>12.40851330586467</c:v>
                </c:pt>
                <c:pt idx="93">
                  <c:v>12.601588405804781</c:v>
                </c:pt>
                <c:pt idx="94">
                  <c:v>12.78424188926949</c:v>
                </c:pt>
                <c:pt idx="95">
                  <c:v>12.954336377100949</c:v>
                </c:pt>
                <c:pt idx="96">
                  <c:v>13.109833249004224</c:v>
                </c:pt>
                <c:pt idx="97">
                  <c:v>13.248815032413582</c:v>
                </c:pt>
                <c:pt idx="98">
                  <c:v>13.369506475853633</c:v>
                </c:pt>
                <c:pt idx="99">
                  <c:v>13.470294075891548</c:v>
                </c:pt>
                <c:pt idx="100">
                  <c:v>13.549743843715373</c:v>
                </c:pt>
                <c:pt idx="101">
                  <c:v>13.606617116657169</c:v>
                </c:pt>
                <c:pt idx="102">
                  <c:v>13.639884241395976</c:v>
                </c:pt>
                <c:pt idx="103">
                  <c:v>13.648735978890434</c:v>
                </c:pt>
                <c:pt idx="104">
                  <c:v>13.632592506048505</c:v>
                </c:pt>
                <c:pt idx="105">
                  <c:v>13.59110991546882</c:v>
                </c:pt>
                <c:pt idx="106">
                  <c:v>13.524184141996374</c:v>
                </c:pt>
                <c:pt idx="107">
                  <c:v>13.431952273024038</c:v>
                </c:pt>
                <c:pt idx="108">
                  <c:v>13.314791228132151</c:v>
                </c:pt>
                <c:pt idx="109">
                  <c:v>13.173313822477004</c:v>
                </c:pt>
                <c:pt idx="110">
                  <c:v>13.008362256999778</c:v>
                </c:pt>
                <c:pt idx="111">
                  <c:v>12.820999106716316</c:v>
                </c:pt>
                <c:pt idx="112">
                  <c:v>12.612495905756237</c:v>
                </c:pt>
                <c:pt idx="113">
                  <c:v>12.384319454146997</c:v>
                </c:pt>
                <c:pt idx="114">
                  <c:v>12.138115996296158</c:v>
                </c:pt>
                <c:pt idx="115">
                  <c:v>11.875693444439801</c:v>
                </c:pt>
                <c:pt idx="116">
                  <c:v>11.599001841741602</c:v>
                </c:pt>
                <c:pt idx="117">
                  <c:v>11.310112279010312</c:v>
                </c:pt>
                <c:pt idx="118">
                  <c:v>11.011194495942638</c:v>
                </c:pt>
                <c:pt idx="119">
                  <c:v>10.704493412208059</c:v>
                </c:pt>
                <c:pt idx="120">
                  <c:v>10.392304845413266</c:v>
                </c:pt>
                <c:pt idx="121">
                  <c:v>10.07695068189004</c:v>
                </c:pt>
                <c:pt idx="122">
                  <c:v>9.7607537722415962</c:v>
                </c:pt>
                <c:pt idx="123">
                  <c:v>9.4460128265951901</c:v>
                </c:pt>
                <c:pt idx="124">
                  <c:v>9.1349775845089045</c:v>
                </c:pt>
                <c:pt idx="125">
                  <c:v>8.8298245314678976</c:v>
                </c:pt>
                <c:pt idx="126">
                  <c:v>8.5326334279144245</c:v>
                </c:pt>
                <c:pt idx="127">
                  <c:v>8.2453649078497957</c:v>
                </c:pt>
                <c:pt idx="128">
                  <c:v>7.9698393923258752</c:v>
                </c:pt>
                <c:pt idx="129">
                  <c:v>7.7077175487337604</c:v>
                </c:pt>
                <c:pt idx="130">
                  <c:v>7.460482509858859</c:v>
                </c:pt>
                <c:pt idx="131">
                  <c:v>7.2294240473880649</c:v>
                </c:pt>
                <c:pt idx="132">
                  <c:v>7.0156248731384245</c:v>
                </c:pt>
                <c:pt idx="133">
                  <c:v>6.819949217962435</c:v>
                </c:pt>
                <c:pt idx="134">
                  <c:v>6.6430338133272659</c:v>
                </c:pt>
                <c:pt idx="135">
                  <c:v>6.4852813742385713</c:v>
                </c:pt>
                <c:pt idx="136">
                  <c:v>6.3468566547714191</c:v>
                </c:pt>
                <c:pt idx="137">
                  <c:v>6.2276851192823717</c:v>
                </c:pt>
                <c:pt idx="138">
                  <c:v>6.1274542437159933</c:v>
                </c:pt>
                <c:pt idx="139">
                  <c:v>6.0456174326008858</c:v>
                </c:pt>
                <c:pt idx="140">
                  <c:v>5.9814005086695952</c:v>
                </c:pt>
                <c:pt idx="141">
                  <c:v>5.933810703848156</c:v>
                </c:pt>
                <c:pt idx="142">
                  <c:v>5.9016480529531101</c:v>
                </c:pt>
                <c:pt idx="143">
                  <c:v>5.8835190651068627</c:v>
                </c:pt>
                <c:pt idx="144">
                  <c:v>5.8778525229247318</c:v>
                </c:pt>
                <c:pt idx="145">
                  <c:v>5.8829172362125508</c:v>
                </c:pt>
                <c:pt idx="146">
                  <c:v>5.896841555497363</c:v>
                </c:pt>
                <c:pt idx="147">
                  <c:v>5.9176344314304279</c:v>
                </c:pt>
                <c:pt idx="148">
                  <c:v>5.9432077891629405</c:v>
                </c:pt>
                <c:pt idx="149">
                  <c:v>5.9713999723853437</c:v>
                </c:pt>
                <c:pt idx="150">
                  <c:v>5.9999999999999982</c:v>
                </c:pt>
                <c:pt idx="151">
                  <c:v>6.0267723694913524</c:v>
                </c:pt>
                <c:pt idx="152">
                  <c:v>6.0494821350662082</c:v>
                </c:pt>
                <c:pt idx="153">
                  <c:v>6.0659199856244532</c:v>
                </c:pt>
                <c:pt idx="154">
                  <c:v>6.0739270476205309</c:v>
                </c:pt>
                <c:pt idx="155">
                  <c:v>6.0714191408883922</c:v>
                </c:pt>
                <c:pt idx="156">
                  <c:v>6.0564102214945503</c:v>
                </c:pt>
                <c:pt idx="157">
                  <c:v>6.0270347545890015</c:v>
                </c:pt>
                <c:pt idx="158">
                  <c:v>5.981568771945736</c:v>
                </c:pt>
                <c:pt idx="159">
                  <c:v>5.918449383293499</c:v>
                </c:pt>
                <c:pt idx="160">
                  <c:v>5.8362925274769015</c:v>
                </c:pt>
                <c:pt idx="161">
                  <c:v>5.7339087687710828</c:v>
                </c:pt>
                <c:pt idx="162">
                  <c:v>5.6103169650896767</c:v>
                </c:pt>
                <c:pt idx="163">
                  <c:v>5.4647556581404508</c:v>
                </c:pt>
                <c:pt idx="164">
                  <c:v>5.2966920605405372</c:v>
                </c:pt>
                <c:pt idx="165">
                  <c:v>5.1058285412302524</c:v>
                </c:pt>
                <c:pt idx="166">
                  <c:v>4.8921065379325599</c:v>
                </c:pt>
                <c:pt idx="167">
                  <c:v>4.6557078535939942</c:v>
                </c:pt>
                <c:pt idx="168">
                  <c:v>4.3970533224034192</c:v>
                </c:pt>
                <c:pt idx="169">
                  <c:v>4.1167988598037422</c:v>
                </c:pt>
                <c:pt idx="170">
                  <c:v>3.8158289395720399</c:v>
                </c:pt>
                <c:pt idx="171">
                  <c:v>3.4952475692326654</c:v>
                </c:pt>
                <c:pt idx="172">
                  <c:v>3.1563668624755703</c:v>
                </c:pt>
                <c:pt idx="173">
                  <c:v>2.8006933335794888</c:v>
                </c:pt>
                <c:pt idx="174">
                  <c:v>2.4299120637967921</c:v>
                </c:pt>
                <c:pt idx="175">
                  <c:v>2.0458689129718985</c:v>
                </c:pt>
                <c:pt idx="176">
                  <c:v>1.6505509710811124</c:v>
                </c:pt>
                <c:pt idx="177">
                  <c:v>1.2460654636652184</c:v>
                </c:pt>
                <c:pt idx="178">
                  <c:v>0.83461734206553606</c:v>
                </c:pt>
                <c:pt idx="179">
                  <c:v>0.41848580378271083</c:v>
                </c:pt>
                <c:pt idx="180">
                  <c:v>2.940356291780688E-15</c:v>
                </c:pt>
                <c:pt idx="181">
                  <c:v>-0.41848580378271028</c:v>
                </c:pt>
                <c:pt idx="182">
                  <c:v>-0.83461734206553029</c:v>
                </c:pt>
                <c:pt idx="183">
                  <c:v>-1.2460654636652126</c:v>
                </c:pt>
                <c:pt idx="184">
                  <c:v>-1.6505509710811066</c:v>
                </c:pt>
                <c:pt idx="185">
                  <c:v>-2.0458689129718932</c:v>
                </c:pt>
                <c:pt idx="186">
                  <c:v>-2.4299120637967868</c:v>
                </c:pt>
                <c:pt idx="187">
                  <c:v>-2.8006933335794839</c:v>
                </c:pt>
                <c:pt idx="188">
                  <c:v>-3.1563668624755752</c:v>
                </c:pt>
                <c:pt idx="189">
                  <c:v>-3.4952475692326606</c:v>
                </c:pt>
                <c:pt idx="190">
                  <c:v>-3.8158289395720444</c:v>
                </c:pt>
                <c:pt idx="191">
                  <c:v>-4.1167988598037368</c:v>
                </c:pt>
                <c:pt idx="192">
                  <c:v>-4.3970533224034209</c:v>
                </c:pt>
                <c:pt idx="193">
                  <c:v>-4.6557078535939906</c:v>
                </c:pt>
                <c:pt idx="194">
                  <c:v>-4.8921065379325572</c:v>
                </c:pt>
                <c:pt idx="195">
                  <c:v>-5.1058285412302498</c:v>
                </c:pt>
                <c:pt idx="196">
                  <c:v>-5.2966920605405345</c:v>
                </c:pt>
                <c:pt idx="197">
                  <c:v>-5.4647556581404517</c:v>
                </c:pt>
                <c:pt idx="198">
                  <c:v>-5.6103169650896749</c:v>
                </c:pt>
                <c:pt idx="199">
                  <c:v>-5.7339087687710837</c:v>
                </c:pt>
                <c:pt idx="200">
                  <c:v>-5.8362925274769006</c:v>
                </c:pt>
                <c:pt idx="201">
                  <c:v>-5.918449383293499</c:v>
                </c:pt>
                <c:pt idx="202">
                  <c:v>-5.9815687719457351</c:v>
                </c:pt>
                <c:pt idx="203">
                  <c:v>-6.0270347545890006</c:v>
                </c:pt>
                <c:pt idx="204">
                  <c:v>-6.0564102214945503</c:v>
                </c:pt>
                <c:pt idx="205">
                  <c:v>-6.0714191408883913</c:v>
                </c:pt>
                <c:pt idx="206">
                  <c:v>-6.0739270476205292</c:v>
                </c:pt>
                <c:pt idx="207">
                  <c:v>-6.0659199856244532</c:v>
                </c:pt>
                <c:pt idx="208">
                  <c:v>-6.0494821350662065</c:v>
                </c:pt>
                <c:pt idx="209">
                  <c:v>-6.0267723694913533</c:v>
                </c:pt>
                <c:pt idx="210">
                  <c:v>-5.9999999999999964</c:v>
                </c:pt>
                <c:pt idx="211">
                  <c:v>-5.9713999723853428</c:v>
                </c:pt>
                <c:pt idx="212">
                  <c:v>-5.9432077891629458</c:v>
                </c:pt>
                <c:pt idx="213">
                  <c:v>-5.9176344314304288</c:v>
                </c:pt>
                <c:pt idx="214">
                  <c:v>-5.8968415554973639</c:v>
                </c:pt>
                <c:pt idx="215">
                  <c:v>-5.882917236212557</c:v>
                </c:pt>
                <c:pt idx="216">
                  <c:v>-5.8778525229247318</c:v>
                </c:pt>
                <c:pt idx="217">
                  <c:v>-5.8835190651068636</c:v>
                </c:pt>
                <c:pt idx="218">
                  <c:v>-5.9016480529531092</c:v>
                </c:pt>
                <c:pt idx="219">
                  <c:v>-5.9338107038481551</c:v>
                </c:pt>
                <c:pt idx="220">
                  <c:v>-5.9814005086695925</c:v>
                </c:pt>
                <c:pt idx="221">
                  <c:v>-6.045617432600884</c:v>
                </c:pt>
                <c:pt idx="222">
                  <c:v>-6.1274542437159925</c:v>
                </c:pt>
                <c:pt idx="223">
                  <c:v>-6.2276851192823699</c:v>
                </c:pt>
                <c:pt idx="224">
                  <c:v>-6.3468566547714218</c:v>
                </c:pt>
                <c:pt idx="225">
                  <c:v>-6.4852813742385695</c:v>
                </c:pt>
                <c:pt idx="226">
                  <c:v>-6.6430338133272686</c:v>
                </c:pt>
                <c:pt idx="227">
                  <c:v>-6.819949217962435</c:v>
                </c:pt>
                <c:pt idx="228">
                  <c:v>-7.0156248731384245</c:v>
                </c:pt>
                <c:pt idx="229">
                  <c:v>-7.2294240473880613</c:v>
                </c:pt>
                <c:pt idx="230">
                  <c:v>-7.4604825098588581</c:v>
                </c:pt>
                <c:pt idx="231">
                  <c:v>-7.7077175487337488</c:v>
                </c:pt>
                <c:pt idx="232">
                  <c:v>-7.9698393923258788</c:v>
                </c:pt>
                <c:pt idx="233">
                  <c:v>-8.245364907849801</c:v>
                </c:pt>
                <c:pt idx="234">
                  <c:v>-8.5326334279144191</c:v>
                </c:pt>
                <c:pt idx="235">
                  <c:v>-8.8298245314678923</c:v>
                </c:pt>
                <c:pt idx="236">
                  <c:v>-9.1349775845089081</c:v>
                </c:pt>
                <c:pt idx="237">
                  <c:v>-9.4460128265951955</c:v>
                </c:pt>
                <c:pt idx="238">
                  <c:v>-9.7607537722415891</c:v>
                </c:pt>
                <c:pt idx="239">
                  <c:v>-10.076950681890036</c:v>
                </c:pt>
                <c:pt idx="240">
                  <c:v>-10.392304845413259</c:v>
                </c:pt>
                <c:pt idx="241">
                  <c:v>-10.704493412208057</c:v>
                </c:pt>
                <c:pt idx="242">
                  <c:v>-11.011194495942643</c:v>
                </c:pt>
                <c:pt idx="243">
                  <c:v>-11.31011227901031</c:v>
                </c:pt>
                <c:pt idx="244">
                  <c:v>-11.599001841741599</c:v>
                </c:pt>
                <c:pt idx="245">
                  <c:v>-11.875693444439804</c:v>
                </c:pt>
                <c:pt idx="246">
                  <c:v>-12.138115996296161</c:v>
                </c:pt>
                <c:pt idx="247">
                  <c:v>-12.384319454146999</c:v>
                </c:pt>
                <c:pt idx="248">
                  <c:v>-12.612495905756232</c:v>
                </c:pt>
                <c:pt idx="249">
                  <c:v>-12.820999106716311</c:v>
                </c:pt>
                <c:pt idx="250">
                  <c:v>-13.00836225699978</c:v>
                </c:pt>
                <c:pt idx="251">
                  <c:v>-13.173313822477002</c:v>
                </c:pt>
                <c:pt idx="252">
                  <c:v>-13.314791228132149</c:v>
                </c:pt>
                <c:pt idx="253">
                  <c:v>-13.431952273024034</c:v>
                </c:pt>
                <c:pt idx="254">
                  <c:v>-13.524184141996376</c:v>
                </c:pt>
                <c:pt idx="255">
                  <c:v>-13.59110991546882</c:v>
                </c:pt>
                <c:pt idx="256">
                  <c:v>-13.632592506048505</c:v>
                </c:pt>
                <c:pt idx="257">
                  <c:v>-13.648735978890432</c:v>
                </c:pt>
                <c:pt idx="258">
                  <c:v>-13.639884241395976</c:v>
                </c:pt>
                <c:pt idx="259">
                  <c:v>-13.606617116657167</c:v>
                </c:pt>
                <c:pt idx="260">
                  <c:v>-13.549743843715373</c:v>
                </c:pt>
                <c:pt idx="261">
                  <c:v>-13.47029407589155</c:v>
                </c:pt>
                <c:pt idx="262">
                  <c:v>-13.369506475853635</c:v>
                </c:pt>
                <c:pt idx="263">
                  <c:v>-13.248815032413578</c:v>
                </c:pt>
                <c:pt idx="264">
                  <c:v>-13.109833249004229</c:v>
                </c:pt>
                <c:pt idx="265">
                  <c:v>-12.954336377100947</c:v>
                </c:pt>
                <c:pt idx="266">
                  <c:v>-12.78424188926949</c:v>
                </c:pt>
                <c:pt idx="267">
                  <c:v>-12.601588405804787</c:v>
                </c:pt>
                <c:pt idx="268">
                  <c:v>-12.408513305864664</c:v>
                </c:pt>
                <c:pt idx="269">
                  <c:v>-12.207229268412</c:v>
                </c:pt>
                <c:pt idx="270">
                  <c:v>-12.000000000000002</c:v>
                </c:pt>
                <c:pt idx="271">
                  <c:v>-11.789115415341398</c:v>
                </c:pt>
                <c:pt idx="272">
                  <c:v>-11.576866542593622</c:v>
                </c:pt>
                <c:pt idx="273">
                  <c:v>-11.36552042830499</c:v>
                </c:pt>
                <c:pt idx="274">
                  <c:v>-11.157295316966295</c:v>
                </c:pt>
                <c:pt idx="275">
                  <c:v>-10.954336377100951</c:v>
                </c:pt>
                <c:pt idx="276">
                  <c:v>-10.758692239834335</c:v>
                </c:pt>
                <c:pt idx="277">
                  <c:v>-10.572292606978149</c:v>
                </c:pt>
                <c:pt idx="278">
                  <c:v>-10.396927173944057</c:v>
                </c:pt>
                <c:pt idx="279">
                  <c:v>-10.234226098391758</c:v>
                </c:pt>
                <c:pt idx="280">
                  <c:v>-10.085642228577623</c:v>
                </c:pt>
                <c:pt idx="281">
                  <c:v>-9.9524352860867644</c:v>
                </c:pt>
                <c:pt idx="282">
                  <c:v>-9.8356581762153574</c:v>
                </c:pt>
                <c:pt idx="283">
                  <c:v>-9.7361455759552111</c:v>
                </c:pt>
                <c:pt idx="284">
                  <c:v>-9.6545049245754129</c:v>
                </c:pt>
                <c:pt idx="285">
                  <c:v>-9.5911099154688202</c:v>
                </c:pt>
                <c:pt idx="286">
                  <c:v>-9.5460965605232779</c:v>
                </c:pt>
                <c:pt idx="287">
                  <c:v>-9.5193618700888134</c:v>
                </c:pt>
                <c:pt idx="288">
                  <c:v>-9.5105651629515364</c:v>
                </c:pt>
                <c:pt idx="289">
                  <c:v>-9.5191319919066011</c:v>
                </c:pt>
                <c:pt idx="290">
                  <c:v>-9.5442606418620226</c:v>
                </c:pt>
                <c:pt idx="291">
                  <c:v>-9.5849311292165265</c:v>
                </c:pt>
                <c:pt idx="292">
                  <c:v>-9.6399166038466628</c:v>
                </c:pt>
                <c:pt idx="293">
                  <c:v>-9.7077970287115676</c:v>
                </c:pt>
                <c:pt idx="294">
                  <c:v>-9.7869749871262588</c:v>
                </c:pt>
                <c:pt idx="295">
                  <c:v>-9.8756934444398041</c:v>
                </c:pt>
                <c:pt idx="296">
                  <c:v>-9.972055269438405</c:v>
                </c:pt>
                <c:pt idx="297">
                  <c:v>-10.074044301510515</c:v>
                </c:pt>
                <c:pt idx="298">
                  <c:v>-10.179547732671603</c:v>
                </c:pt>
                <c:pt idx="299">
                  <c:v>-10.286379559137444</c:v>
                </c:pt>
                <c:pt idx="300">
                  <c:v>-10.392304845413262</c:v>
                </c:pt>
                <c:pt idx="301">
                  <c:v>-10.495064534960653</c:v>
                </c:pt>
                <c:pt idx="302">
                  <c:v>-10.592400535512633</c:v>
                </c:pt>
                <c:pt idx="303">
                  <c:v>-10.68208080409498</c:v>
                </c:pt>
                <c:pt idx="304">
                  <c:v>-10.761924156812102</c:v>
                </c:pt>
                <c:pt idx="305">
                  <c:v>-10.829824531467905</c:v>
                </c:pt>
                <c:pt idx="306">
                  <c:v>-10.883774437084309</c:v>
                </c:pt>
                <c:pt idx="307">
                  <c:v>-10.921887333285227</c:v>
                </c:pt>
                <c:pt idx="308">
                  <c:v>-10.942418694235455</c:v>
                </c:pt>
                <c:pt idx="309">
                  <c:v>-10.94378552623354</c:v>
                </c:pt>
                <c:pt idx="310">
                  <c:v>-10.924584124996613</c:v>
                </c:pt>
                <c:pt idx="311">
                  <c:v>-10.883605877958468</c:v>
                </c:pt>
                <c:pt idx="312">
                  <c:v>-10.819850938319043</c:v>
                </c:pt>
                <c:pt idx="313">
                  <c:v>-10.732539620897656</c:v>
                </c:pt>
                <c:pt idx="314">
                  <c:v>-10.621121394800362</c:v>
                </c:pt>
                <c:pt idx="315">
                  <c:v>-10.485281374238571</c:v>
                </c:pt>
                <c:pt idx="316">
                  <c:v>-10.324944236244518</c:v>
                </c:pt>
                <c:pt idx="317">
                  <c:v>-10.140275522217589</c:v>
                </c:pt>
                <c:pt idx="318">
                  <c:v>-9.9316803088966026</c:v>
                </c:pt>
                <c:pt idx="319">
                  <c:v>-9.6997992631712879</c:v>
                </c:pt>
                <c:pt idx="320">
                  <c:v>-9.4455021238073549</c:v>
                </c:pt>
                <c:pt idx="321">
                  <c:v>-9.1698786813479529</c:v>
                </c:pt>
                <c:pt idx="322">
                  <c:v>-8.8742273548626809</c:v>
                </c:pt>
                <c:pt idx="323">
                  <c:v>-8.5600414905422983</c:v>
                </c:pt>
                <c:pt idx="324">
                  <c:v>-8.2289935320946288</c:v>
                </c:pt>
                <c:pt idx="325">
                  <c:v>-7.8829172362125597</c:v>
                </c:pt>
                <c:pt idx="326">
                  <c:v>-7.5237881278005592</c:v>
                </c:pt>
                <c:pt idx="327">
                  <c:v>-7.1537024089302177</c:v>
                </c:pt>
                <c:pt idx="328">
                  <c:v>-6.7748545524339763</c:v>
                </c:pt>
                <c:pt idx="329">
                  <c:v>-6.389513825455972</c:v>
                </c:pt>
                <c:pt idx="330">
                  <c:v>-6.0000000000000151</c:v>
                </c:pt>
                <c:pt idx="331">
                  <c:v>-5.6086585164207303</c:v>
                </c:pt>
                <c:pt idx="332">
                  <c:v>-5.2178353717951786</c:v>
                </c:pt>
                <c:pt idx="333">
                  <c:v>-4.829852008124675</c:v>
                </c:pt>
                <c:pt idx="334">
                  <c:v>-4.4469804753173374</c:v>
                </c:pt>
                <c:pt idx="335">
                  <c:v>-4.071419140888394</c:v>
                </c:pt>
                <c:pt idx="336">
                  <c:v>-3.7052692123246578</c:v>
                </c:pt>
                <c:pt idx="337">
                  <c:v>-3.3505123291535712</c:v>
                </c:pt>
                <c:pt idx="338">
                  <c:v>-3.0089894700361599</c:v>
                </c:pt>
                <c:pt idx="339">
                  <c:v>-2.6823814057937141</c:v>
                </c:pt>
                <c:pt idx="340">
                  <c:v>-2.3721909123391445</c:v>
                </c:pt>
                <c:pt idx="341">
                  <c:v>-2.0797269382006771</c:v>
                </c:pt>
                <c:pt idx="342">
                  <c:v>-1.8060908999090628</c:v>
                </c:pt>
                <c:pt idx="343">
                  <c:v>-1.5521652552052363</c:v>
                </c:pt>
                <c:pt idx="344">
                  <c:v>-1.31860447906744</c:v>
                </c:pt>
                <c:pt idx="345">
                  <c:v>-1.105828541230248</c:v>
                </c:pt>
                <c:pt idx="346">
                  <c:v>-0.9140189564594674</c:v>
                </c:pt>
                <c:pt idx="347">
                  <c:v>-0.74311745065877211</c:v>
                </c:pt>
                <c:pt idx="348">
                  <c:v>-0.5928272572228106</c:v>
                </c:pt>
                <c:pt idx="349">
                  <c:v>-0.46261702923333381</c:v>
                </c:pt>
                <c:pt idx="350">
                  <c:v>-0.35172732443428689</c:v>
                </c:pt>
                <c:pt idx="351">
                  <c:v>-0.25917959173287897</c:v>
                </c:pt>
                <c:pt idx="352">
                  <c:v>-0.18378756056599399</c:v>
                </c:pt>
                <c:pt idx="353">
                  <c:v>-0.12417090814405252</c:v>
                </c:pt>
                <c:pt idx="354">
                  <c:v>-7.877105462689804E-2</c:v>
                </c:pt>
                <c:pt idx="355">
                  <c:v>-4.5868912971892328E-2</c:v>
                </c:pt>
                <c:pt idx="356">
                  <c:v>-2.3604398777900215E-2</c:v>
                </c:pt>
                <c:pt idx="357">
                  <c:v>-9.9974861654313907E-3</c:v>
                </c:pt>
                <c:pt idx="358">
                  <c:v>-2.970578794486034E-3</c:v>
                </c:pt>
                <c:pt idx="359">
                  <c:v>-3.7195071209167319E-4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4-4936-837F-391AE66D2F5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'에피,하이포'!$I$2:$I$362</c:f>
              <c:numCache>
                <c:formatCode>General</c:formatCode>
                <c:ptCount val="361"/>
                <c:pt idx="0">
                  <c:v>10</c:v>
                </c:pt>
                <c:pt idx="1">
                  <c:v>9.9984769515639123</c:v>
                </c:pt>
                <c:pt idx="2">
                  <c:v>9.993908270190957</c:v>
                </c:pt>
                <c:pt idx="3">
                  <c:v>9.9862953475457381</c:v>
                </c:pt>
                <c:pt idx="4">
                  <c:v>9.9756405025982424</c:v>
                </c:pt>
                <c:pt idx="5">
                  <c:v>9.961946980917455</c:v>
                </c:pt>
                <c:pt idx="6">
                  <c:v>9.9452189536827333</c:v>
                </c:pt>
                <c:pt idx="7">
                  <c:v>9.9254615164132201</c:v>
                </c:pt>
                <c:pt idx="8">
                  <c:v>9.9026806874157032</c:v>
                </c:pt>
                <c:pt idx="9">
                  <c:v>9.8768834059513786</c:v>
                </c:pt>
                <c:pt idx="10">
                  <c:v>9.8480775301220795</c:v>
                </c:pt>
                <c:pt idx="11">
                  <c:v>9.8162718344766393</c:v>
                </c:pt>
                <c:pt idx="12">
                  <c:v>9.7814760073380569</c:v>
                </c:pt>
                <c:pt idx="13">
                  <c:v>9.7437006478523518</c:v>
                </c:pt>
                <c:pt idx="14">
                  <c:v>9.7029572627599645</c:v>
                </c:pt>
                <c:pt idx="15">
                  <c:v>9.6592582628906829</c:v>
                </c:pt>
                <c:pt idx="16">
                  <c:v>9.6126169593831889</c:v>
                </c:pt>
                <c:pt idx="17">
                  <c:v>9.5630475596303537</c:v>
                </c:pt>
                <c:pt idx="18">
                  <c:v>9.5105651629515346</c:v>
                </c:pt>
                <c:pt idx="19">
                  <c:v>9.4551857559931687</c:v>
                </c:pt>
                <c:pt idx="20">
                  <c:v>9.3969262078590852</c:v>
                </c:pt>
                <c:pt idx="21">
                  <c:v>9.3358042649720172</c:v>
                </c:pt>
                <c:pt idx="22">
                  <c:v>9.2718385456678742</c:v>
                </c:pt>
                <c:pt idx="23">
                  <c:v>9.2050485345244031</c:v>
                </c:pt>
                <c:pt idx="24">
                  <c:v>9.1354545764260084</c:v>
                </c:pt>
                <c:pt idx="25">
                  <c:v>9.0630778703664987</c:v>
                </c:pt>
                <c:pt idx="26">
                  <c:v>8.9879404629916699</c:v>
                </c:pt>
                <c:pt idx="27">
                  <c:v>8.9100652418836788</c:v>
                </c:pt>
                <c:pt idx="28">
                  <c:v>8.8294759285892699</c:v>
                </c:pt>
                <c:pt idx="29">
                  <c:v>8.7461970713939579</c:v>
                </c:pt>
                <c:pt idx="30">
                  <c:v>8.6602540378443873</c:v>
                </c:pt>
                <c:pt idx="31">
                  <c:v>8.5716730070211238</c:v>
                </c:pt>
                <c:pt idx="32">
                  <c:v>8.4804809615642593</c:v>
                </c:pt>
                <c:pt idx="33">
                  <c:v>8.3867056794542414</c:v>
                </c:pt>
                <c:pt idx="34">
                  <c:v>8.2903757255504154</c:v>
                </c:pt>
                <c:pt idx="35">
                  <c:v>8.1915204428899173</c:v>
                </c:pt>
                <c:pt idx="36">
                  <c:v>8.0901699437494745</c:v>
                </c:pt>
                <c:pt idx="37">
                  <c:v>7.9863551004729283</c:v>
                </c:pt>
                <c:pt idx="38">
                  <c:v>7.8801075360672188</c:v>
                </c:pt>
                <c:pt idx="39">
                  <c:v>7.771459614569709</c:v>
                </c:pt>
                <c:pt idx="40">
                  <c:v>7.6604444311897799</c:v>
                </c:pt>
                <c:pt idx="41">
                  <c:v>7.5470958022277204</c:v>
                </c:pt>
                <c:pt idx="42">
                  <c:v>7.431448254773942</c:v>
                </c:pt>
                <c:pt idx="43">
                  <c:v>7.3135370161917042</c:v>
                </c:pt>
                <c:pt idx="44">
                  <c:v>7.1933980033865117</c:v>
                </c:pt>
                <c:pt idx="45">
                  <c:v>7.0710678118654755</c:v>
                </c:pt>
                <c:pt idx="46">
                  <c:v>6.9465837045899725</c:v>
                </c:pt>
                <c:pt idx="47">
                  <c:v>6.819983600624985</c:v>
                </c:pt>
                <c:pt idx="48">
                  <c:v>6.6913060635885824</c:v>
                </c:pt>
                <c:pt idx="49">
                  <c:v>6.5605902899050728</c:v>
                </c:pt>
                <c:pt idx="50">
                  <c:v>6.4278760968653934</c:v>
                </c:pt>
                <c:pt idx="51">
                  <c:v>6.2932039104983755</c:v>
                </c:pt>
                <c:pt idx="52">
                  <c:v>6.1566147532565827</c:v>
                </c:pt>
                <c:pt idx="53">
                  <c:v>6.018150231520484</c:v>
                </c:pt>
                <c:pt idx="54">
                  <c:v>5.8778525229247318</c:v>
                </c:pt>
                <c:pt idx="55">
                  <c:v>5.7357643635104614</c:v>
                </c:pt>
                <c:pt idx="56">
                  <c:v>5.5919290347074675</c:v>
                </c:pt>
                <c:pt idx="57">
                  <c:v>5.4463903501502706</c:v>
                </c:pt>
                <c:pt idx="58">
                  <c:v>5.2991926423320486</c:v>
                </c:pt>
                <c:pt idx="59">
                  <c:v>5.1503807491005418</c:v>
                </c:pt>
                <c:pt idx="60">
                  <c:v>5.0000000000000009</c:v>
                </c:pt>
                <c:pt idx="61">
                  <c:v>4.8480962024633714</c:v>
                </c:pt>
                <c:pt idx="62">
                  <c:v>4.6947156278589084</c:v>
                </c:pt>
                <c:pt idx="63">
                  <c:v>4.5399049973954684</c:v>
                </c:pt>
                <c:pt idx="64">
                  <c:v>4.3837114678907749</c:v>
                </c:pt>
                <c:pt idx="65">
                  <c:v>4.2261826174069945</c:v>
                </c:pt>
                <c:pt idx="66">
                  <c:v>4.0673664307580024</c:v>
                </c:pt>
                <c:pt idx="67">
                  <c:v>3.9073112848927369</c:v>
                </c:pt>
                <c:pt idx="68">
                  <c:v>3.7460659341591196</c:v>
                </c:pt>
                <c:pt idx="69">
                  <c:v>3.583679495453004</c:v>
                </c:pt>
                <c:pt idx="70">
                  <c:v>3.4202014332566884</c:v>
                </c:pt>
                <c:pt idx="71">
                  <c:v>3.2556815445715674</c:v>
                </c:pt>
                <c:pt idx="72">
                  <c:v>3.0901699437494745</c:v>
                </c:pt>
                <c:pt idx="73">
                  <c:v>2.9237170472273677</c:v>
                </c:pt>
                <c:pt idx="74">
                  <c:v>2.7563735581699915</c:v>
                </c:pt>
                <c:pt idx="75">
                  <c:v>2.5881904510252074</c:v>
                </c:pt>
                <c:pt idx="76">
                  <c:v>2.4192189559966768</c:v>
                </c:pt>
                <c:pt idx="77">
                  <c:v>2.2495105434386491</c:v>
                </c:pt>
                <c:pt idx="78">
                  <c:v>2.0791169081775944</c:v>
                </c:pt>
                <c:pt idx="79">
                  <c:v>1.9080899537654492</c:v>
                </c:pt>
                <c:pt idx="80">
                  <c:v>1.7364817766693041</c:v>
                </c:pt>
                <c:pt idx="81">
                  <c:v>1.5643446504023093</c:v>
                </c:pt>
                <c:pt idx="82">
                  <c:v>1.3917310096006545</c:v>
                </c:pt>
                <c:pt idx="83">
                  <c:v>1.2186934340514748</c:v>
                </c:pt>
                <c:pt idx="84">
                  <c:v>1.0452846326765346</c:v>
                </c:pt>
                <c:pt idx="85">
                  <c:v>0.87155742747658138</c:v>
                </c:pt>
                <c:pt idx="86">
                  <c:v>0.69756473744125236</c:v>
                </c:pt>
                <c:pt idx="87">
                  <c:v>0.52335956242943971</c:v>
                </c:pt>
                <c:pt idx="88">
                  <c:v>0.34899496702501082</c:v>
                </c:pt>
                <c:pt idx="89">
                  <c:v>0.17452406437283599</c:v>
                </c:pt>
                <c:pt idx="90">
                  <c:v>6.1257422745431001E-16</c:v>
                </c:pt>
                <c:pt idx="91">
                  <c:v>-0.17452406437283477</c:v>
                </c:pt>
                <c:pt idx="92">
                  <c:v>-0.34899496702500954</c:v>
                </c:pt>
                <c:pt idx="93">
                  <c:v>-0.52335956242943837</c:v>
                </c:pt>
                <c:pt idx="94">
                  <c:v>-0.69756473744125325</c:v>
                </c:pt>
                <c:pt idx="95">
                  <c:v>-0.87155742747658238</c:v>
                </c:pt>
                <c:pt idx="96">
                  <c:v>-1.0452846326765355</c:v>
                </c:pt>
                <c:pt idx="97">
                  <c:v>-1.2186934340514737</c:v>
                </c:pt>
                <c:pt idx="98">
                  <c:v>-1.3917310096006537</c:v>
                </c:pt>
                <c:pt idx="99">
                  <c:v>-1.5643446504023082</c:v>
                </c:pt>
                <c:pt idx="100">
                  <c:v>-1.736481776669303</c:v>
                </c:pt>
                <c:pt idx="101">
                  <c:v>-1.9080899537654481</c:v>
                </c:pt>
                <c:pt idx="102">
                  <c:v>-2.0791169081775935</c:v>
                </c:pt>
                <c:pt idx="103">
                  <c:v>-2.2495105434386504</c:v>
                </c:pt>
                <c:pt idx="104">
                  <c:v>-2.4192189559966777</c:v>
                </c:pt>
                <c:pt idx="105">
                  <c:v>-2.5881904510252083</c:v>
                </c:pt>
                <c:pt idx="106">
                  <c:v>-2.7563735581699906</c:v>
                </c:pt>
                <c:pt idx="107">
                  <c:v>-2.9237170472273668</c:v>
                </c:pt>
                <c:pt idx="108">
                  <c:v>-3.0901699437494736</c:v>
                </c:pt>
                <c:pt idx="109">
                  <c:v>-3.2556815445715666</c:v>
                </c:pt>
                <c:pt idx="110">
                  <c:v>-3.420201433256687</c:v>
                </c:pt>
                <c:pt idx="111">
                  <c:v>-3.5836794954530027</c:v>
                </c:pt>
                <c:pt idx="112">
                  <c:v>-3.7460659341591205</c:v>
                </c:pt>
                <c:pt idx="113">
                  <c:v>-3.9073112848927378</c:v>
                </c:pt>
                <c:pt idx="114">
                  <c:v>-4.0673664307580024</c:v>
                </c:pt>
                <c:pt idx="115">
                  <c:v>-4.2261826174069936</c:v>
                </c:pt>
                <c:pt idx="116">
                  <c:v>-4.3837114678907749</c:v>
                </c:pt>
                <c:pt idx="117">
                  <c:v>-4.5399049973954666</c:v>
                </c:pt>
                <c:pt idx="118">
                  <c:v>-4.6947156278589093</c:v>
                </c:pt>
                <c:pt idx="119">
                  <c:v>-4.8480962024633705</c:v>
                </c:pt>
                <c:pt idx="120">
                  <c:v>-4.9999999999999982</c:v>
                </c:pt>
                <c:pt idx="121">
                  <c:v>-5.1503807491005427</c:v>
                </c:pt>
                <c:pt idx="122">
                  <c:v>-5.2991926423320477</c:v>
                </c:pt>
                <c:pt idx="123">
                  <c:v>-5.4463903501502706</c:v>
                </c:pt>
                <c:pt idx="124">
                  <c:v>-5.5919290347074666</c:v>
                </c:pt>
                <c:pt idx="125">
                  <c:v>-5.7357643635104614</c:v>
                </c:pt>
                <c:pt idx="126">
                  <c:v>-5.87785252292473</c:v>
                </c:pt>
                <c:pt idx="127">
                  <c:v>-6.018150231520484</c:v>
                </c:pt>
                <c:pt idx="128">
                  <c:v>-6.1566147532565827</c:v>
                </c:pt>
                <c:pt idx="129">
                  <c:v>-6.2932039104983728</c:v>
                </c:pt>
                <c:pt idx="130">
                  <c:v>-6.4278760968653934</c:v>
                </c:pt>
                <c:pt idx="131">
                  <c:v>-6.5605902899050719</c:v>
                </c:pt>
                <c:pt idx="132">
                  <c:v>-6.6913060635885824</c:v>
                </c:pt>
                <c:pt idx="133">
                  <c:v>-6.8199836006249832</c:v>
                </c:pt>
                <c:pt idx="134">
                  <c:v>-6.9465837045899734</c:v>
                </c:pt>
                <c:pt idx="135">
                  <c:v>-7.0710678118654746</c:v>
                </c:pt>
                <c:pt idx="136">
                  <c:v>-7.1933980033865117</c:v>
                </c:pt>
                <c:pt idx="137">
                  <c:v>-7.3135370161917042</c:v>
                </c:pt>
                <c:pt idx="138">
                  <c:v>-7.4314482547739402</c:v>
                </c:pt>
                <c:pt idx="139">
                  <c:v>-7.5470958022277204</c:v>
                </c:pt>
                <c:pt idx="140">
                  <c:v>-7.660444431189779</c:v>
                </c:pt>
                <c:pt idx="141">
                  <c:v>-7.771459614569709</c:v>
                </c:pt>
                <c:pt idx="142">
                  <c:v>-7.8801075360672188</c:v>
                </c:pt>
                <c:pt idx="143">
                  <c:v>-7.9863551004729292</c:v>
                </c:pt>
                <c:pt idx="144">
                  <c:v>-8.0901699437494727</c:v>
                </c:pt>
                <c:pt idx="145">
                  <c:v>-8.1915204428899191</c:v>
                </c:pt>
                <c:pt idx="146">
                  <c:v>-8.2903757255504154</c:v>
                </c:pt>
                <c:pt idx="147">
                  <c:v>-8.3867056794542396</c:v>
                </c:pt>
                <c:pt idx="148">
                  <c:v>-8.4804809615642593</c:v>
                </c:pt>
                <c:pt idx="149">
                  <c:v>-8.571673007021122</c:v>
                </c:pt>
                <c:pt idx="150">
                  <c:v>-8.6602540378443873</c:v>
                </c:pt>
                <c:pt idx="151">
                  <c:v>-8.7461970713939579</c:v>
                </c:pt>
                <c:pt idx="152">
                  <c:v>-8.8294759285892699</c:v>
                </c:pt>
                <c:pt idx="153">
                  <c:v>-8.9100652418836788</c:v>
                </c:pt>
                <c:pt idx="154">
                  <c:v>-8.9879404629916699</c:v>
                </c:pt>
                <c:pt idx="155">
                  <c:v>-9.0630778703664987</c:v>
                </c:pt>
                <c:pt idx="156">
                  <c:v>-9.1354545764260067</c:v>
                </c:pt>
                <c:pt idx="157">
                  <c:v>-9.2050485345244031</c:v>
                </c:pt>
                <c:pt idx="158">
                  <c:v>-9.2718385456678725</c:v>
                </c:pt>
                <c:pt idx="159">
                  <c:v>-9.3358042649720172</c:v>
                </c:pt>
                <c:pt idx="160">
                  <c:v>-9.3969262078590834</c:v>
                </c:pt>
                <c:pt idx="161">
                  <c:v>-9.4551857559931687</c:v>
                </c:pt>
                <c:pt idx="162">
                  <c:v>-9.5105651629515346</c:v>
                </c:pt>
                <c:pt idx="163">
                  <c:v>-9.5630475596303555</c:v>
                </c:pt>
                <c:pt idx="164">
                  <c:v>-9.6126169593831889</c:v>
                </c:pt>
                <c:pt idx="165">
                  <c:v>-9.6592582628906811</c:v>
                </c:pt>
                <c:pt idx="166">
                  <c:v>-9.7029572627599645</c:v>
                </c:pt>
                <c:pt idx="167">
                  <c:v>-9.7437006478523518</c:v>
                </c:pt>
                <c:pt idx="168">
                  <c:v>-9.7814760073380569</c:v>
                </c:pt>
                <c:pt idx="169">
                  <c:v>-9.8162718344766393</c:v>
                </c:pt>
                <c:pt idx="170">
                  <c:v>-9.8480775301220795</c:v>
                </c:pt>
                <c:pt idx="171">
                  <c:v>-9.8768834059513768</c:v>
                </c:pt>
                <c:pt idx="172">
                  <c:v>-9.9026806874157032</c:v>
                </c:pt>
                <c:pt idx="173">
                  <c:v>-9.9254615164132201</c:v>
                </c:pt>
                <c:pt idx="174">
                  <c:v>-9.9452189536827333</c:v>
                </c:pt>
                <c:pt idx="175">
                  <c:v>-9.961946980917455</c:v>
                </c:pt>
                <c:pt idx="176">
                  <c:v>-9.9756405025982424</c:v>
                </c:pt>
                <c:pt idx="177">
                  <c:v>-9.9862953475457381</c:v>
                </c:pt>
                <c:pt idx="178">
                  <c:v>-9.993908270190957</c:v>
                </c:pt>
                <c:pt idx="179">
                  <c:v>-9.9984769515639123</c:v>
                </c:pt>
                <c:pt idx="180">
                  <c:v>-10</c:v>
                </c:pt>
                <c:pt idx="181">
                  <c:v>-9.9984769515639123</c:v>
                </c:pt>
                <c:pt idx="182">
                  <c:v>-9.993908270190957</c:v>
                </c:pt>
                <c:pt idx="183">
                  <c:v>-9.9862953475457381</c:v>
                </c:pt>
                <c:pt idx="184">
                  <c:v>-9.9756405025982424</c:v>
                </c:pt>
                <c:pt idx="185">
                  <c:v>-9.961946980917455</c:v>
                </c:pt>
                <c:pt idx="186">
                  <c:v>-9.9452189536827333</c:v>
                </c:pt>
                <c:pt idx="187">
                  <c:v>-9.9254615164132218</c:v>
                </c:pt>
                <c:pt idx="188">
                  <c:v>-9.9026806874157032</c:v>
                </c:pt>
                <c:pt idx="189">
                  <c:v>-9.8768834059513786</c:v>
                </c:pt>
                <c:pt idx="190">
                  <c:v>-9.8480775301220795</c:v>
                </c:pt>
                <c:pt idx="191">
                  <c:v>-9.8162718344766393</c:v>
                </c:pt>
                <c:pt idx="192">
                  <c:v>-9.7814760073380551</c:v>
                </c:pt>
                <c:pt idx="193">
                  <c:v>-9.7437006478523518</c:v>
                </c:pt>
                <c:pt idx="194">
                  <c:v>-9.7029572627599645</c:v>
                </c:pt>
                <c:pt idx="195">
                  <c:v>-9.6592582628906829</c:v>
                </c:pt>
                <c:pt idx="196">
                  <c:v>-9.6126169593831889</c:v>
                </c:pt>
                <c:pt idx="197">
                  <c:v>-9.5630475596303537</c:v>
                </c:pt>
                <c:pt idx="198">
                  <c:v>-9.5105651629515364</c:v>
                </c:pt>
                <c:pt idx="199">
                  <c:v>-9.4551857559931669</c:v>
                </c:pt>
                <c:pt idx="200">
                  <c:v>-9.3969262078590852</c:v>
                </c:pt>
                <c:pt idx="201">
                  <c:v>-9.3358042649720172</c:v>
                </c:pt>
                <c:pt idx="202">
                  <c:v>-9.2718385456678742</c:v>
                </c:pt>
                <c:pt idx="203">
                  <c:v>-9.2050485345244031</c:v>
                </c:pt>
                <c:pt idx="204">
                  <c:v>-9.1354545764260084</c:v>
                </c:pt>
                <c:pt idx="205">
                  <c:v>-9.0630778703665005</c:v>
                </c:pt>
                <c:pt idx="206">
                  <c:v>-8.9879404629916699</c:v>
                </c:pt>
                <c:pt idx="207">
                  <c:v>-8.9100652418836788</c:v>
                </c:pt>
                <c:pt idx="208">
                  <c:v>-8.8294759285892681</c:v>
                </c:pt>
                <c:pt idx="209">
                  <c:v>-8.7461970713939579</c:v>
                </c:pt>
                <c:pt idx="210">
                  <c:v>-8.6602540378443855</c:v>
                </c:pt>
                <c:pt idx="211">
                  <c:v>-8.5716730070211238</c:v>
                </c:pt>
                <c:pt idx="212">
                  <c:v>-8.4804809615642611</c:v>
                </c:pt>
                <c:pt idx="213">
                  <c:v>-8.3867056794542414</c:v>
                </c:pt>
                <c:pt idx="214">
                  <c:v>-8.2903757255504189</c:v>
                </c:pt>
                <c:pt idx="215">
                  <c:v>-8.1915204428899173</c:v>
                </c:pt>
                <c:pt idx="216">
                  <c:v>-8.0901699437494763</c:v>
                </c:pt>
                <c:pt idx="217">
                  <c:v>-7.9863551004729283</c:v>
                </c:pt>
                <c:pt idx="218">
                  <c:v>-7.8801075360672197</c:v>
                </c:pt>
                <c:pt idx="219">
                  <c:v>-7.7714596145697081</c:v>
                </c:pt>
                <c:pt idx="220">
                  <c:v>-7.6604444311897799</c:v>
                </c:pt>
                <c:pt idx="221">
                  <c:v>-7.5470958022277213</c:v>
                </c:pt>
                <c:pt idx="222">
                  <c:v>-7.431448254773942</c:v>
                </c:pt>
                <c:pt idx="223">
                  <c:v>-7.3135370161917059</c:v>
                </c:pt>
                <c:pt idx="224">
                  <c:v>-7.1933980033865108</c:v>
                </c:pt>
                <c:pt idx="225">
                  <c:v>-7.0710678118654773</c:v>
                </c:pt>
                <c:pt idx="226">
                  <c:v>-6.9465837045899725</c:v>
                </c:pt>
                <c:pt idx="227">
                  <c:v>-6.8199836006249859</c:v>
                </c:pt>
                <c:pt idx="228">
                  <c:v>-6.6913060635885815</c:v>
                </c:pt>
                <c:pt idx="229">
                  <c:v>-6.5605902899050728</c:v>
                </c:pt>
                <c:pt idx="230">
                  <c:v>-6.4278760968653952</c:v>
                </c:pt>
                <c:pt idx="231">
                  <c:v>-6.2932039104983781</c:v>
                </c:pt>
                <c:pt idx="232">
                  <c:v>-6.1566147532565809</c:v>
                </c:pt>
                <c:pt idx="233">
                  <c:v>-6.0181502315204831</c:v>
                </c:pt>
                <c:pt idx="234">
                  <c:v>-5.8778525229247327</c:v>
                </c:pt>
                <c:pt idx="235">
                  <c:v>-5.735764363510464</c:v>
                </c:pt>
                <c:pt idx="236">
                  <c:v>-5.5919290347074657</c:v>
                </c:pt>
                <c:pt idx="237">
                  <c:v>-5.4463903501502697</c:v>
                </c:pt>
                <c:pt idx="238">
                  <c:v>-5.2991926423320503</c:v>
                </c:pt>
                <c:pt idx="239">
                  <c:v>-5.1503807491005453</c:v>
                </c:pt>
                <c:pt idx="240">
                  <c:v>-5.0000000000000044</c:v>
                </c:pt>
                <c:pt idx="241">
                  <c:v>-4.8480962024633687</c:v>
                </c:pt>
                <c:pt idx="242">
                  <c:v>-4.6947156278589075</c:v>
                </c:pt>
                <c:pt idx="243">
                  <c:v>-4.5399049973954693</c:v>
                </c:pt>
                <c:pt idx="244">
                  <c:v>-4.3837114678907776</c:v>
                </c:pt>
                <c:pt idx="245">
                  <c:v>-4.2261826174069919</c:v>
                </c:pt>
                <c:pt idx="246">
                  <c:v>-4.0673664307580006</c:v>
                </c:pt>
                <c:pt idx="247">
                  <c:v>-3.9073112848927383</c:v>
                </c:pt>
                <c:pt idx="248">
                  <c:v>-3.7460659341591231</c:v>
                </c:pt>
                <c:pt idx="249">
                  <c:v>-3.5836794954530071</c:v>
                </c:pt>
                <c:pt idx="250">
                  <c:v>-3.4202014332566852</c:v>
                </c:pt>
                <c:pt idx="251">
                  <c:v>-3.2556815445715666</c:v>
                </c:pt>
                <c:pt idx="252">
                  <c:v>-3.0901699437494754</c:v>
                </c:pt>
                <c:pt idx="253">
                  <c:v>-2.9237170472273712</c:v>
                </c:pt>
                <c:pt idx="254">
                  <c:v>-2.7563735581699889</c:v>
                </c:pt>
                <c:pt idx="255">
                  <c:v>-2.5881904510252065</c:v>
                </c:pt>
                <c:pt idx="256">
                  <c:v>-2.4192189559966777</c:v>
                </c:pt>
                <c:pt idx="257">
                  <c:v>-2.2495105434386526</c:v>
                </c:pt>
                <c:pt idx="258">
                  <c:v>-2.079116908177598</c:v>
                </c:pt>
                <c:pt idx="259">
                  <c:v>-1.9080899537654461</c:v>
                </c:pt>
                <c:pt idx="260">
                  <c:v>-1.7364817766693033</c:v>
                </c:pt>
                <c:pt idx="261">
                  <c:v>-1.5643446504023104</c:v>
                </c:pt>
                <c:pt idx="262">
                  <c:v>-1.3917310096006583</c:v>
                </c:pt>
                <c:pt idx="263">
                  <c:v>-1.2186934340514717</c:v>
                </c:pt>
                <c:pt idx="264">
                  <c:v>-1.0452846326765335</c:v>
                </c:pt>
                <c:pt idx="265">
                  <c:v>-0.87155742747658249</c:v>
                </c:pt>
                <c:pt idx="266">
                  <c:v>-0.6975647374412558</c:v>
                </c:pt>
                <c:pt idx="267">
                  <c:v>-0.52335956242944304</c:v>
                </c:pt>
                <c:pt idx="268">
                  <c:v>-0.3489949670250076</c:v>
                </c:pt>
                <c:pt idx="269">
                  <c:v>-0.17452406437283496</c:v>
                </c:pt>
                <c:pt idx="270">
                  <c:v>-1.83772268236293E-15</c:v>
                </c:pt>
                <c:pt idx="271">
                  <c:v>0.1745240643728313</c:v>
                </c:pt>
                <c:pt idx="272">
                  <c:v>0.34899496702501281</c:v>
                </c:pt>
                <c:pt idx="273">
                  <c:v>0.52335956242943948</c:v>
                </c:pt>
                <c:pt idx="274">
                  <c:v>0.69756473744125214</c:v>
                </c:pt>
                <c:pt idx="275">
                  <c:v>0.87155742747657894</c:v>
                </c:pt>
                <c:pt idx="276">
                  <c:v>1.0452846326765299</c:v>
                </c:pt>
                <c:pt idx="277">
                  <c:v>1.2186934340514768</c:v>
                </c:pt>
                <c:pt idx="278">
                  <c:v>1.3917310096006545</c:v>
                </c:pt>
                <c:pt idx="279">
                  <c:v>1.5643446504023069</c:v>
                </c:pt>
                <c:pt idx="280">
                  <c:v>1.7364817766692997</c:v>
                </c:pt>
                <c:pt idx="281">
                  <c:v>1.908089953765451</c:v>
                </c:pt>
                <c:pt idx="282">
                  <c:v>2.0791169081775944</c:v>
                </c:pt>
                <c:pt idx="283">
                  <c:v>2.2495105434386491</c:v>
                </c:pt>
                <c:pt idx="284">
                  <c:v>2.4192189559966746</c:v>
                </c:pt>
                <c:pt idx="285">
                  <c:v>2.588190451025203</c:v>
                </c:pt>
                <c:pt idx="286">
                  <c:v>2.7563735581699937</c:v>
                </c:pt>
                <c:pt idx="287">
                  <c:v>2.9237170472273672</c:v>
                </c:pt>
                <c:pt idx="288">
                  <c:v>3.0901699437494723</c:v>
                </c:pt>
                <c:pt idx="289">
                  <c:v>3.255681544571563</c:v>
                </c:pt>
                <c:pt idx="290">
                  <c:v>3.4202014332566897</c:v>
                </c:pt>
                <c:pt idx="291">
                  <c:v>3.583679495453004</c:v>
                </c:pt>
                <c:pt idx="292">
                  <c:v>3.7460659341591196</c:v>
                </c:pt>
                <c:pt idx="293">
                  <c:v>3.9073112848927352</c:v>
                </c:pt>
                <c:pt idx="294">
                  <c:v>4.067366430757998</c:v>
                </c:pt>
                <c:pt idx="295">
                  <c:v>4.2261826174069963</c:v>
                </c:pt>
                <c:pt idx="296">
                  <c:v>4.383711467890774</c:v>
                </c:pt>
                <c:pt idx="297">
                  <c:v>4.5399049973954666</c:v>
                </c:pt>
                <c:pt idx="298">
                  <c:v>4.694715627858904</c:v>
                </c:pt>
                <c:pt idx="299">
                  <c:v>4.8480962024633731</c:v>
                </c:pt>
                <c:pt idx="300">
                  <c:v>5.0000000000000009</c:v>
                </c:pt>
                <c:pt idx="301">
                  <c:v>5.1503807491005418</c:v>
                </c:pt>
                <c:pt idx="302">
                  <c:v>5.2991926423320468</c:v>
                </c:pt>
                <c:pt idx="303">
                  <c:v>5.4463903501502662</c:v>
                </c:pt>
                <c:pt idx="304">
                  <c:v>5.5919290347074702</c:v>
                </c:pt>
                <c:pt idx="305">
                  <c:v>5.7357643635104605</c:v>
                </c:pt>
                <c:pt idx="306">
                  <c:v>5.8778525229247292</c:v>
                </c:pt>
                <c:pt idx="307">
                  <c:v>6.0181502315204796</c:v>
                </c:pt>
                <c:pt idx="308">
                  <c:v>6.1566147532565854</c:v>
                </c:pt>
                <c:pt idx="309">
                  <c:v>6.2932039104983755</c:v>
                </c:pt>
                <c:pt idx="310">
                  <c:v>6.4278760968653925</c:v>
                </c:pt>
                <c:pt idx="311">
                  <c:v>6.5605902899050701</c:v>
                </c:pt>
                <c:pt idx="312">
                  <c:v>6.6913060635885779</c:v>
                </c:pt>
                <c:pt idx="313">
                  <c:v>6.8199836006249859</c:v>
                </c:pt>
                <c:pt idx="314">
                  <c:v>6.9465837045899725</c:v>
                </c:pt>
                <c:pt idx="315">
                  <c:v>7.0710678118654737</c:v>
                </c:pt>
                <c:pt idx="316">
                  <c:v>7.193398003386509</c:v>
                </c:pt>
                <c:pt idx="317">
                  <c:v>7.3135370161917068</c:v>
                </c:pt>
                <c:pt idx="318">
                  <c:v>7.431448254773942</c:v>
                </c:pt>
                <c:pt idx="319">
                  <c:v>7.5470958022277195</c:v>
                </c:pt>
                <c:pt idx="320">
                  <c:v>7.6604444311897781</c:v>
                </c:pt>
                <c:pt idx="321">
                  <c:v>7.7714596145697055</c:v>
                </c:pt>
                <c:pt idx="322">
                  <c:v>7.8801075360672197</c:v>
                </c:pt>
                <c:pt idx="323">
                  <c:v>7.9863551004729283</c:v>
                </c:pt>
                <c:pt idx="324">
                  <c:v>8.0901699437494727</c:v>
                </c:pt>
                <c:pt idx="325">
                  <c:v>8.1915204428899155</c:v>
                </c:pt>
                <c:pt idx="326">
                  <c:v>8.2903757255504189</c:v>
                </c:pt>
                <c:pt idx="327">
                  <c:v>8.3867056794542414</c:v>
                </c:pt>
                <c:pt idx="328">
                  <c:v>8.4804809615642593</c:v>
                </c:pt>
                <c:pt idx="329">
                  <c:v>8.571673007021122</c:v>
                </c:pt>
                <c:pt idx="330">
                  <c:v>8.6602540378443837</c:v>
                </c:pt>
                <c:pt idx="331">
                  <c:v>8.7461970713939579</c:v>
                </c:pt>
                <c:pt idx="332">
                  <c:v>8.8294759285892681</c:v>
                </c:pt>
                <c:pt idx="333">
                  <c:v>8.9100652418836788</c:v>
                </c:pt>
                <c:pt idx="334">
                  <c:v>8.9879404629916682</c:v>
                </c:pt>
                <c:pt idx="335">
                  <c:v>9.0630778703665005</c:v>
                </c:pt>
                <c:pt idx="336">
                  <c:v>9.1354545764260102</c:v>
                </c:pt>
                <c:pt idx="337">
                  <c:v>9.2050485345244031</c:v>
                </c:pt>
                <c:pt idx="338">
                  <c:v>9.2718385456678725</c:v>
                </c:pt>
                <c:pt idx="339">
                  <c:v>9.3358042649720154</c:v>
                </c:pt>
                <c:pt idx="340">
                  <c:v>9.3969262078590852</c:v>
                </c:pt>
                <c:pt idx="341">
                  <c:v>9.4551857559931687</c:v>
                </c:pt>
                <c:pt idx="342">
                  <c:v>9.5105651629515346</c:v>
                </c:pt>
                <c:pt idx="343">
                  <c:v>9.5630475596303537</c:v>
                </c:pt>
                <c:pt idx="344">
                  <c:v>9.6126169593831889</c:v>
                </c:pt>
                <c:pt idx="345">
                  <c:v>9.6592582628906829</c:v>
                </c:pt>
                <c:pt idx="346">
                  <c:v>9.7029572627599645</c:v>
                </c:pt>
                <c:pt idx="347">
                  <c:v>9.7437006478523518</c:v>
                </c:pt>
                <c:pt idx="348">
                  <c:v>9.7814760073380551</c:v>
                </c:pt>
                <c:pt idx="349">
                  <c:v>9.8162718344766393</c:v>
                </c:pt>
                <c:pt idx="350">
                  <c:v>9.8480775301220795</c:v>
                </c:pt>
                <c:pt idx="351">
                  <c:v>9.8768834059513768</c:v>
                </c:pt>
                <c:pt idx="352">
                  <c:v>9.9026806874157032</c:v>
                </c:pt>
                <c:pt idx="353">
                  <c:v>9.9254615164132218</c:v>
                </c:pt>
                <c:pt idx="354">
                  <c:v>9.9452189536827333</c:v>
                </c:pt>
                <c:pt idx="355">
                  <c:v>9.961946980917455</c:v>
                </c:pt>
                <c:pt idx="356">
                  <c:v>9.9756405025982424</c:v>
                </c:pt>
                <c:pt idx="357">
                  <c:v>9.9862953475457381</c:v>
                </c:pt>
                <c:pt idx="358">
                  <c:v>9.993908270190957</c:v>
                </c:pt>
                <c:pt idx="359">
                  <c:v>9.9984769515639123</c:v>
                </c:pt>
                <c:pt idx="360">
                  <c:v>10</c:v>
                </c:pt>
              </c:numCache>
            </c:numRef>
          </c:xVal>
          <c:yVal>
            <c:numRef>
              <c:f>'에피,하이포'!$J$2:$J$362</c:f>
              <c:numCache>
                <c:formatCode>General</c:formatCode>
                <c:ptCount val="361"/>
                <c:pt idx="0">
                  <c:v>0</c:v>
                </c:pt>
                <c:pt idx="1">
                  <c:v>0.17452406437283513</c:v>
                </c:pt>
                <c:pt idx="2">
                  <c:v>0.34899496702500971</c:v>
                </c:pt>
                <c:pt idx="3">
                  <c:v>0.52335956242943837</c:v>
                </c:pt>
                <c:pt idx="4">
                  <c:v>0.69756473744125302</c:v>
                </c:pt>
                <c:pt idx="5">
                  <c:v>0.8715574274765816</c:v>
                </c:pt>
                <c:pt idx="6">
                  <c:v>1.0452846326765348</c:v>
                </c:pt>
                <c:pt idx="7">
                  <c:v>1.2186934340514748</c:v>
                </c:pt>
                <c:pt idx="8">
                  <c:v>1.3917310096006543</c:v>
                </c:pt>
                <c:pt idx="9">
                  <c:v>1.5643446504023086</c:v>
                </c:pt>
                <c:pt idx="10">
                  <c:v>1.7364817766693033</c:v>
                </c:pt>
                <c:pt idx="11">
                  <c:v>1.9080899537654481</c:v>
                </c:pt>
                <c:pt idx="12">
                  <c:v>2.0791169081775935</c:v>
                </c:pt>
                <c:pt idx="13">
                  <c:v>2.24951054343865</c:v>
                </c:pt>
                <c:pt idx="14">
                  <c:v>2.4192189559966772</c:v>
                </c:pt>
                <c:pt idx="15">
                  <c:v>2.5881904510252074</c:v>
                </c:pt>
                <c:pt idx="16">
                  <c:v>2.7563735581699915</c:v>
                </c:pt>
                <c:pt idx="17">
                  <c:v>2.9237170472273677</c:v>
                </c:pt>
                <c:pt idx="18">
                  <c:v>3.0901699437494741</c:v>
                </c:pt>
                <c:pt idx="19">
                  <c:v>3.255681544571567</c:v>
                </c:pt>
                <c:pt idx="20">
                  <c:v>3.420201433256687</c:v>
                </c:pt>
                <c:pt idx="21">
                  <c:v>3.5836794954530027</c:v>
                </c:pt>
                <c:pt idx="22">
                  <c:v>3.74606593415912</c:v>
                </c:pt>
                <c:pt idx="23">
                  <c:v>3.9073112848927378</c:v>
                </c:pt>
                <c:pt idx="24">
                  <c:v>4.0673664307580024</c:v>
                </c:pt>
                <c:pt idx="25">
                  <c:v>4.2261826174069945</c:v>
                </c:pt>
                <c:pt idx="26">
                  <c:v>4.383711467890774</c:v>
                </c:pt>
                <c:pt idx="27">
                  <c:v>4.5399049973954675</c:v>
                </c:pt>
                <c:pt idx="28">
                  <c:v>4.6947156278589084</c:v>
                </c:pt>
                <c:pt idx="29">
                  <c:v>4.8480962024633705</c:v>
                </c:pt>
                <c:pt idx="30">
                  <c:v>4.9999999999999991</c:v>
                </c:pt>
                <c:pt idx="31">
                  <c:v>5.1503807491005418</c:v>
                </c:pt>
                <c:pt idx="32">
                  <c:v>5.2991926423320486</c:v>
                </c:pt>
                <c:pt idx="33">
                  <c:v>5.4463903501502706</c:v>
                </c:pt>
                <c:pt idx="34">
                  <c:v>5.5919290347074693</c:v>
                </c:pt>
                <c:pt idx="35">
                  <c:v>5.7357643635104605</c:v>
                </c:pt>
                <c:pt idx="36">
                  <c:v>5.8778525229247318</c:v>
                </c:pt>
                <c:pt idx="37">
                  <c:v>6.0181502315204831</c:v>
                </c:pt>
                <c:pt idx="38">
                  <c:v>6.1566147532565827</c:v>
                </c:pt>
                <c:pt idx="39">
                  <c:v>6.2932039104983737</c:v>
                </c:pt>
                <c:pt idx="40">
                  <c:v>6.4278760968653925</c:v>
                </c:pt>
                <c:pt idx="41">
                  <c:v>6.5605902899050728</c:v>
                </c:pt>
                <c:pt idx="42">
                  <c:v>6.6913060635885824</c:v>
                </c:pt>
                <c:pt idx="43">
                  <c:v>6.819983600624985</c:v>
                </c:pt>
                <c:pt idx="44">
                  <c:v>6.9465837045899725</c:v>
                </c:pt>
                <c:pt idx="45">
                  <c:v>7.0710678118654746</c:v>
                </c:pt>
                <c:pt idx="46">
                  <c:v>7.1933980033865108</c:v>
                </c:pt>
                <c:pt idx="47">
                  <c:v>7.3135370161917042</c:v>
                </c:pt>
                <c:pt idx="48">
                  <c:v>7.431448254773942</c:v>
                </c:pt>
                <c:pt idx="49">
                  <c:v>7.5470958022277204</c:v>
                </c:pt>
                <c:pt idx="50">
                  <c:v>7.6604444311897799</c:v>
                </c:pt>
                <c:pt idx="51">
                  <c:v>7.771459614569709</c:v>
                </c:pt>
                <c:pt idx="52">
                  <c:v>7.8801075360672197</c:v>
                </c:pt>
                <c:pt idx="53">
                  <c:v>7.9863551004729283</c:v>
                </c:pt>
                <c:pt idx="54">
                  <c:v>8.0901699437494745</c:v>
                </c:pt>
                <c:pt idx="55">
                  <c:v>8.1915204428899173</c:v>
                </c:pt>
                <c:pt idx="56">
                  <c:v>8.2903757255504171</c:v>
                </c:pt>
                <c:pt idx="57">
                  <c:v>8.3867056794542414</c:v>
                </c:pt>
                <c:pt idx="58">
                  <c:v>8.4804809615642593</c:v>
                </c:pt>
                <c:pt idx="59">
                  <c:v>8.5716730070211238</c:v>
                </c:pt>
                <c:pt idx="60">
                  <c:v>8.6602540378443855</c:v>
                </c:pt>
                <c:pt idx="61">
                  <c:v>8.7461970713939579</c:v>
                </c:pt>
                <c:pt idx="62">
                  <c:v>8.8294759285892681</c:v>
                </c:pt>
                <c:pt idx="63">
                  <c:v>8.9100652418836788</c:v>
                </c:pt>
                <c:pt idx="64">
                  <c:v>8.9879404629916699</c:v>
                </c:pt>
                <c:pt idx="65">
                  <c:v>9.0630778703664987</c:v>
                </c:pt>
                <c:pt idx="66">
                  <c:v>9.1354545764260084</c:v>
                </c:pt>
                <c:pt idx="67">
                  <c:v>9.2050485345244031</c:v>
                </c:pt>
                <c:pt idx="68">
                  <c:v>9.2718385456678742</c:v>
                </c:pt>
                <c:pt idx="69">
                  <c:v>9.3358042649720172</c:v>
                </c:pt>
                <c:pt idx="70">
                  <c:v>9.3969262078590834</c:v>
                </c:pt>
                <c:pt idx="71">
                  <c:v>9.4551857559931669</c:v>
                </c:pt>
                <c:pt idx="72">
                  <c:v>9.5105651629515346</c:v>
                </c:pt>
                <c:pt idx="73">
                  <c:v>9.5630475596303537</c:v>
                </c:pt>
                <c:pt idx="74">
                  <c:v>9.6126169593831889</c:v>
                </c:pt>
                <c:pt idx="75">
                  <c:v>9.6592582628906829</c:v>
                </c:pt>
                <c:pt idx="76">
                  <c:v>9.7029572627599645</c:v>
                </c:pt>
                <c:pt idx="77">
                  <c:v>9.7437006478523518</c:v>
                </c:pt>
                <c:pt idx="78">
                  <c:v>9.7814760073380551</c:v>
                </c:pt>
                <c:pt idx="79">
                  <c:v>9.8162718344766393</c:v>
                </c:pt>
                <c:pt idx="80">
                  <c:v>9.8480775301220795</c:v>
                </c:pt>
                <c:pt idx="81">
                  <c:v>9.8768834059513786</c:v>
                </c:pt>
                <c:pt idx="82">
                  <c:v>9.9026806874157032</c:v>
                </c:pt>
                <c:pt idx="83">
                  <c:v>9.9254615164132201</c:v>
                </c:pt>
                <c:pt idx="84">
                  <c:v>9.9452189536827333</c:v>
                </c:pt>
                <c:pt idx="85">
                  <c:v>9.961946980917455</c:v>
                </c:pt>
                <c:pt idx="86">
                  <c:v>9.9756405025982424</c:v>
                </c:pt>
                <c:pt idx="87">
                  <c:v>9.9862953475457381</c:v>
                </c:pt>
                <c:pt idx="88">
                  <c:v>9.993908270190957</c:v>
                </c:pt>
                <c:pt idx="89">
                  <c:v>9.9984769515639123</c:v>
                </c:pt>
                <c:pt idx="90">
                  <c:v>10</c:v>
                </c:pt>
                <c:pt idx="91">
                  <c:v>9.9984769515639123</c:v>
                </c:pt>
                <c:pt idx="92">
                  <c:v>9.993908270190957</c:v>
                </c:pt>
                <c:pt idx="93">
                  <c:v>9.9862953475457381</c:v>
                </c:pt>
                <c:pt idx="94">
                  <c:v>9.9756405025982424</c:v>
                </c:pt>
                <c:pt idx="95">
                  <c:v>9.961946980917455</c:v>
                </c:pt>
                <c:pt idx="96">
                  <c:v>9.9452189536827333</c:v>
                </c:pt>
                <c:pt idx="97">
                  <c:v>9.9254615164132218</c:v>
                </c:pt>
                <c:pt idx="98">
                  <c:v>9.9026806874157032</c:v>
                </c:pt>
                <c:pt idx="99">
                  <c:v>9.8768834059513786</c:v>
                </c:pt>
                <c:pt idx="100">
                  <c:v>9.8480775301220795</c:v>
                </c:pt>
                <c:pt idx="101">
                  <c:v>9.8162718344766393</c:v>
                </c:pt>
                <c:pt idx="102">
                  <c:v>9.7814760073380569</c:v>
                </c:pt>
                <c:pt idx="103">
                  <c:v>9.7437006478523518</c:v>
                </c:pt>
                <c:pt idx="104">
                  <c:v>9.7029572627599645</c:v>
                </c:pt>
                <c:pt idx="105">
                  <c:v>9.6592582628906829</c:v>
                </c:pt>
                <c:pt idx="106">
                  <c:v>9.6126169593831889</c:v>
                </c:pt>
                <c:pt idx="107">
                  <c:v>9.5630475596303555</c:v>
                </c:pt>
                <c:pt idx="108">
                  <c:v>9.5105651629515364</c:v>
                </c:pt>
                <c:pt idx="109">
                  <c:v>9.4551857559931687</c:v>
                </c:pt>
                <c:pt idx="110">
                  <c:v>9.3969262078590852</c:v>
                </c:pt>
                <c:pt idx="111">
                  <c:v>9.3358042649720172</c:v>
                </c:pt>
                <c:pt idx="112">
                  <c:v>9.2718385456678742</c:v>
                </c:pt>
                <c:pt idx="113">
                  <c:v>9.2050485345244031</c:v>
                </c:pt>
                <c:pt idx="114">
                  <c:v>9.1354545764260084</c:v>
                </c:pt>
                <c:pt idx="115">
                  <c:v>9.0630778703665005</c:v>
                </c:pt>
                <c:pt idx="116">
                  <c:v>8.9879404629916699</c:v>
                </c:pt>
                <c:pt idx="117">
                  <c:v>8.9100652418836788</c:v>
                </c:pt>
                <c:pt idx="118">
                  <c:v>8.8294759285892681</c:v>
                </c:pt>
                <c:pt idx="119">
                  <c:v>8.7461970713939579</c:v>
                </c:pt>
                <c:pt idx="120">
                  <c:v>8.6602540378443873</c:v>
                </c:pt>
                <c:pt idx="121">
                  <c:v>8.5716730070211238</c:v>
                </c:pt>
                <c:pt idx="122">
                  <c:v>8.4804809615642611</c:v>
                </c:pt>
                <c:pt idx="123">
                  <c:v>8.3867056794542396</c:v>
                </c:pt>
                <c:pt idx="124">
                  <c:v>8.2903757255504171</c:v>
                </c:pt>
                <c:pt idx="125">
                  <c:v>8.1915204428899173</c:v>
                </c:pt>
                <c:pt idx="126">
                  <c:v>8.0901699437494745</c:v>
                </c:pt>
                <c:pt idx="127">
                  <c:v>7.9863551004729274</c:v>
                </c:pt>
                <c:pt idx="128">
                  <c:v>7.8801075360672197</c:v>
                </c:pt>
                <c:pt idx="129">
                  <c:v>7.7714596145697099</c:v>
                </c:pt>
                <c:pt idx="130">
                  <c:v>7.6604444311897799</c:v>
                </c:pt>
                <c:pt idx="131">
                  <c:v>7.5470958022277213</c:v>
                </c:pt>
                <c:pt idx="132">
                  <c:v>7.431448254773942</c:v>
                </c:pt>
                <c:pt idx="133">
                  <c:v>7.3135370161917059</c:v>
                </c:pt>
                <c:pt idx="134">
                  <c:v>7.1933980033865108</c:v>
                </c:pt>
                <c:pt idx="135">
                  <c:v>7.0710678118654755</c:v>
                </c:pt>
                <c:pt idx="136">
                  <c:v>6.9465837045899717</c:v>
                </c:pt>
                <c:pt idx="137">
                  <c:v>6.8199836006249859</c:v>
                </c:pt>
                <c:pt idx="138">
                  <c:v>6.6913060635885833</c:v>
                </c:pt>
                <c:pt idx="139">
                  <c:v>6.5605902899050728</c:v>
                </c:pt>
                <c:pt idx="140">
                  <c:v>6.4278760968653952</c:v>
                </c:pt>
                <c:pt idx="141">
                  <c:v>6.2932039104983737</c:v>
                </c:pt>
                <c:pt idx="142">
                  <c:v>6.1566147532565836</c:v>
                </c:pt>
                <c:pt idx="143">
                  <c:v>6.0181502315204813</c:v>
                </c:pt>
                <c:pt idx="144">
                  <c:v>5.8778525229247327</c:v>
                </c:pt>
                <c:pt idx="145">
                  <c:v>5.7357643635104596</c:v>
                </c:pt>
                <c:pt idx="146">
                  <c:v>5.5919290347074693</c:v>
                </c:pt>
                <c:pt idx="147">
                  <c:v>5.4463903501502733</c:v>
                </c:pt>
                <c:pt idx="148">
                  <c:v>5.2991926423320486</c:v>
                </c:pt>
                <c:pt idx="149">
                  <c:v>5.1503807491005436</c:v>
                </c:pt>
                <c:pt idx="150">
                  <c:v>4.9999999999999991</c:v>
                </c:pt>
                <c:pt idx="151">
                  <c:v>4.8480962024633714</c:v>
                </c:pt>
                <c:pt idx="152">
                  <c:v>4.6947156278589066</c:v>
                </c:pt>
                <c:pt idx="153">
                  <c:v>4.5399049973954684</c:v>
                </c:pt>
                <c:pt idx="154">
                  <c:v>4.3837114678907732</c:v>
                </c:pt>
                <c:pt idx="155">
                  <c:v>4.2261826174069945</c:v>
                </c:pt>
                <c:pt idx="156">
                  <c:v>4.0673664307580042</c:v>
                </c:pt>
                <c:pt idx="157">
                  <c:v>3.9073112848927378</c:v>
                </c:pt>
                <c:pt idx="158">
                  <c:v>3.7460659341591223</c:v>
                </c:pt>
                <c:pt idx="159">
                  <c:v>3.5836794954530022</c:v>
                </c:pt>
                <c:pt idx="160">
                  <c:v>3.4202014332566888</c:v>
                </c:pt>
                <c:pt idx="161">
                  <c:v>3.2556815445715657</c:v>
                </c:pt>
                <c:pt idx="162">
                  <c:v>3.090169943749475</c:v>
                </c:pt>
                <c:pt idx="163">
                  <c:v>2.9237170472273659</c:v>
                </c:pt>
                <c:pt idx="164">
                  <c:v>2.756373558169992</c:v>
                </c:pt>
                <c:pt idx="165">
                  <c:v>2.5881904510252101</c:v>
                </c:pt>
                <c:pt idx="166">
                  <c:v>2.4192189559966772</c:v>
                </c:pt>
                <c:pt idx="167">
                  <c:v>2.2495105434386522</c:v>
                </c:pt>
                <c:pt idx="168">
                  <c:v>2.0791169081775931</c:v>
                </c:pt>
                <c:pt idx="169">
                  <c:v>1.9080899537654497</c:v>
                </c:pt>
                <c:pt idx="170">
                  <c:v>1.7364817766693028</c:v>
                </c:pt>
                <c:pt idx="171">
                  <c:v>1.5643446504023097</c:v>
                </c:pt>
                <c:pt idx="172">
                  <c:v>1.3917310096006532</c:v>
                </c:pt>
                <c:pt idx="173">
                  <c:v>1.2186934340514755</c:v>
                </c:pt>
                <c:pt idx="174">
                  <c:v>1.0452846326765373</c:v>
                </c:pt>
                <c:pt idx="175">
                  <c:v>0.87155742747658194</c:v>
                </c:pt>
                <c:pt idx="176">
                  <c:v>0.69756473744125524</c:v>
                </c:pt>
                <c:pt idx="177">
                  <c:v>0.52335956242943804</c:v>
                </c:pt>
                <c:pt idx="178">
                  <c:v>0.34899496702501143</c:v>
                </c:pt>
                <c:pt idx="179">
                  <c:v>0.17452406437283438</c:v>
                </c:pt>
                <c:pt idx="180">
                  <c:v>1.22514845490862E-15</c:v>
                </c:pt>
                <c:pt idx="181">
                  <c:v>-0.17452406437283635</c:v>
                </c:pt>
                <c:pt idx="182">
                  <c:v>-0.34899496702500898</c:v>
                </c:pt>
                <c:pt idx="183">
                  <c:v>-0.5233595624294356</c:v>
                </c:pt>
                <c:pt idx="184">
                  <c:v>-0.6975647374412528</c:v>
                </c:pt>
                <c:pt idx="185">
                  <c:v>-0.87155742747657938</c:v>
                </c:pt>
                <c:pt idx="186">
                  <c:v>-1.045284632676535</c:v>
                </c:pt>
                <c:pt idx="187">
                  <c:v>-1.218693434051473</c:v>
                </c:pt>
                <c:pt idx="188">
                  <c:v>-1.3917310096006552</c:v>
                </c:pt>
                <c:pt idx="189">
                  <c:v>-1.5643446504023073</c:v>
                </c:pt>
                <c:pt idx="190">
                  <c:v>-1.7364817766693048</c:v>
                </c:pt>
                <c:pt idx="191">
                  <c:v>-1.9080899537654472</c:v>
                </c:pt>
                <c:pt idx="192">
                  <c:v>-2.0791169081775953</c:v>
                </c:pt>
                <c:pt idx="193">
                  <c:v>-2.2495105434386495</c:v>
                </c:pt>
                <c:pt idx="194">
                  <c:v>-2.419218955996675</c:v>
                </c:pt>
                <c:pt idx="195">
                  <c:v>-2.5881904510252078</c:v>
                </c:pt>
                <c:pt idx="196">
                  <c:v>-2.7563735581699902</c:v>
                </c:pt>
                <c:pt idx="197">
                  <c:v>-2.9237170472273677</c:v>
                </c:pt>
                <c:pt idx="198">
                  <c:v>-3.0901699437494727</c:v>
                </c:pt>
                <c:pt idx="199">
                  <c:v>-3.2556815445715674</c:v>
                </c:pt>
                <c:pt idx="200">
                  <c:v>-3.4202014332566866</c:v>
                </c:pt>
                <c:pt idx="201">
                  <c:v>-3.5836794954530045</c:v>
                </c:pt>
                <c:pt idx="202">
                  <c:v>-3.74606593415912</c:v>
                </c:pt>
                <c:pt idx="203">
                  <c:v>-3.9073112848927356</c:v>
                </c:pt>
                <c:pt idx="204">
                  <c:v>-4.0673664307580024</c:v>
                </c:pt>
                <c:pt idx="205">
                  <c:v>-4.2261826174069927</c:v>
                </c:pt>
                <c:pt idx="206">
                  <c:v>-4.3837114678907749</c:v>
                </c:pt>
                <c:pt idx="207">
                  <c:v>-4.5399049973954666</c:v>
                </c:pt>
                <c:pt idx="208">
                  <c:v>-4.6947156278589084</c:v>
                </c:pt>
                <c:pt idx="209">
                  <c:v>-4.8480962024633696</c:v>
                </c:pt>
                <c:pt idx="210">
                  <c:v>-5.0000000000000009</c:v>
                </c:pt>
                <c:pt idx="211">
                  <c:v>-5.1503807491005418</c:v>
                </c:pt>
                <c:pt idx="212">
                  <c:v>-5.2991926423320477</c:v>
                </c:pt>
                <c:pt idx="213">
                  <c:v>-5.4463903501502706</c:v>
                </c:pt>
                <c:pt idx="214">
                  <c:v>-5.5919290347074666</c:v>
                </c:pt>
                <c:pt idx="215">
                  <c:v>-5.7357643635104614</c:v>
                </c:pt>
                <c:pt idx="216">
                  <c:v>-5.87785252292473</c:v>
                </c:pt>
                <c:pt idx="217">
                  <c:v>-6.018150231520484</c:v>
                </c:pt>
                <c:pt idx="218">
                  <c:v>-6.1566147532565818</c:v>
                </c:pt>
                <c:pt idx="219">
                  <c:v>-6.2932039104983764</c:v>
                </c:pt>
                <c:pt idx="220">
                  <c:v>-6.4278760968653925</c:v>
                </c:pt>
                <c:pt idx="221">
                  <c:v>-6.5605902899050701</c:v>
                </c:pt>
                <c:pt idx="222">
                  <c:v>-6.6913060635885824</c:v>
                </c:pt>
                <c:pt idx="223">
                  <c:v>-6.8199836006249832</c:v>
                </c:pt>
                <c:pt idx="224">
                  <c:v>-6.9465837045899734</c:v>
                </c:pt>
                <c:pt idx="225">
                  <c:v>-7.0710678118654746</c:v>
                </c:pt>
                <c:pt idx="226">
                  <c:v>-7.1933980033865117</c:v>
                </c:pt>
                <c:pt idx="227">
                  <c:v>-7.3135370161917042</c:v>
                </c:pt>
                <c:pt idx="228">
                  <c:v>-7.4314482547739438</c:v>
                </c:pt>
                <c:pt idx="229">
                  <c:v>-7.5470958022277204</c:v>
                </c:pt>
                <c:pt idx="230">
                  <c:v>-7.660444431189779</c:v>
                </c:pt>
                <c:pt idx="231">
                  <c:v>-7.7714596145697055</c:v>
                </c:pt>
                <c:pt idx="232">
                  <c:v>-7.8801075360672215</c:v>
                </c:pt>
                <c:pt idx="233">
                  <c:v>-7.9863551004729283</c:v>
                </c:pt>
                <c:pt idx="234">
                  <c:v>-8.0901699437494727</c:v>
                </c:pt>
                <c:pt idx="235">
                  <c:v>-8.1915204428899155</c:v>
                </c:pt>
                <c:pt idx="236">
                  <c:v>-8.2903757255504189</c:v>
                </c:pt>
                <c:pt idx="237">
                  <c:v>-8.3867056794542414</c:v>
                </c:pt>
                <c:pt idx="238">
                  <c:v>-8.4804809615642593</c:v>
                </c:pt>
                <c:pt idx="239">
                  <c:v>-8.571673007021122</c:v>
                </c:pt>
                <c:pt idx="240">
                  <c:v>-8.6602540378443837</c:v>
                </c:pt>
                <c:pt idx="241">
                  <c:v>-8.7461970713939596</c:v>
                </c:pt>
                <c:pt idx="242">
                  <c:v>-8.8294759285892699</c:v>
                </c:pt>
                <c:pt idx="243">
                  <c:v>-8.9100652418836788</c:v>
                </c:pt>
                <c:pt idx="244">
                  <c:v>-8.9879404629916682</c:v>
                </c:pt>
                <c:pt idx="245">
                  <c:v>-9.0630778703665005</c:v>
                </c:pt>
                <c:pt idx="246">
                  <c:v>-9.1354545764260102</c:v>
                </c:pt>
                <c:pt idx="247">
                  <c:v>-9.2050485345244031</c:v>
                </c:pt>
                <c:pt idx="248">
                  <c:v>-9.2718385456678725</c:v>
                </c:pt>
                <c:pt idx="249">
                  <c:v>-9.3358042649720154</c:v>
                </c:pt>
                <c:pt idx="250">
                  <c:v>-9.3969262078590852</c:v>
                </c:pt>
                <c:pt idx="251">
                  <c:v>-9.4551857559931687</c:v>
                </c:pt>
                <c:pt idx="252">
                  <c:v>-9.5105651629515346</c:v>
                </c:pt>
                <c:pt idx="253">
                  <c:v>-9.5630475596303537</c:v>
                </c:pt>
                <c:pt idx="254">
                  <c:v>-9.6126169593831907</c:v>
                </c:pt>
                <c:pt idx="255">
                  <c:v>-9.6592582628906829</c:v>
                </c:pt>
                <c:pt idx="256">
                  <c:v>-9.7029572627599645</c:v>
                </c:pt>
                <c:pt idx="257">
                  <c:v>-9.7437006478523518</c:v>
                </c:pt>
                <c:pt idx="258">
                  <c:v>-9.7814760073380551</c:v>
                </c:pt>
                <c:pt idx="259">
                  <c:v>-9.8162718344766393</c:v>
                </c:pt>
                <c:pt idx="260">
                  <c:v>-9.8480775301220795</c:v>
                </c:pt>
                <c:pt idx="261">
                  <c:v>-9.8768834059513768</c:v>
                </c:pt>
                <c:pt idx="262">
                  <c:v>-9.9026806874157032</c:v>
                </c:pt>
                <c:pt idx="263">
                  <c:v>-9.9254615164132218</c:v>
                </c:pt>
                <c:pt idx="264">
                  <c:v>-9.9452189536827333</c:v>
                </c:pt>
                <c:pt idx="265">
                  <c:v>-9.961946980917455</c:v>
                </c:pt>
                <c:pt idx="266">
                  <c:v>-9.9756405025982424</c:v>
                </c:pt>
                <c:pt idx="267">
                  <c:v>-9.9862953475457381</c:v>
                </c:pt>
                <c:pt idx="268">
                  <c:v>-9.993908270190957</c:v>
                </c:pt>
                <c:pt idx="269">
                  <c:v>-9.9984769515639123</c:v>
                </c:pt>
                <c:pt idx="270">
                  <c:v>-10</c:v>
                </c:pt>
                <c:pt idx="271">
                  <c:v>-9.9984769515639123</c:v>
                </c:pt>
                <c:pt idx="272">
                  <c:v>-9.993908270190957</c:v>
                </c:pt>
                <c:pt idx="273">
                  <c:v>-9.9862953475457381</c:v>
                </c:pt>
                <c:pt idx="274">
                  <c:v>-9.9756405025982424</c:v>
                </c:pt>
                <c:pt idx="275">
                  <c:v>-9.961946980917455</c:v>
                </c:pt>
                <c:pt idx="276">
                  <c:v>-9.9452189536827333</c:v>
                </c:pt>
                <c:pt idx="277">
                  <c:v>-9.9254615164132201</c:v>
                </c:pt>
                <c:pt idx="278">
                  <c:v>-9.9026806874157032</c:v>
                </c:pt>
                <c:pt idx="279">
                  <c:v>-9.8768834059513786</c:v>
                </c:pt>
                <c:pt idx="280">
                  <c:v>-9.8480775301220813</c:v>
                </c:pt>
                <c:pt idx="281">
                  <c:v>-9.8162718344766393</c:v>
                </c:pt>
                <c:pt idx="282">
                  <c:v>-9.7814760073380551</c:v>
                </c:pt>
                <c:pt idx="283">
                  <c:v>-9.7437006478523518</c:v>
                </c:pt>
                <c:pt idx="284">
                  <c:v>-9.7029572627599663</c:v>
                </c:pt>
                <c:pt idx="285">
                  <c:v>-9.6592582628906847</c:v>
                </c:pt>
                <c:pt idx="286">
                  <c:v>-9.6126169593831872</c:v>
                </c:pt>
                <c:pt idx="287">
                  <c:v>-9.5630475596303537</c:v>
                </c:pt>
                <c:pt idx="288">
                  <c:v>-9.5105651629515364</c:v>
                </c:pt>
                <c:pt idx="289">
                  <c:v>-9.4551857559931705</c:v>
                </c:pt>
                <c:pt idx="290">
                  <c:v>-9.3969262078590834</c:v>
                </c:pt>
                <c:pt idx="291">
                  <c:v>-9.3358042649720172</c:v>
                </c:pt>
                <c:pt idx="292">
                  <c:v>-9.2718385456678742</c:v>
                </c:pt>
                <c:pt idx="293">
                  <c:v>-9.2050485345244049</c:v>
                </c:pt>
                <c:pt idx="294">
                  <c:v>-9.1354545764260102</c:v>
                </c:pt>
                <c:pt idx="295">
                  <c:v>-9.0630778703664987</c:v>
                </c:pt>
                <c:pt idx="296">
                  <c:v>-8.9879404629916699</c:v>
                </c:pt>
                <c:pt idx="297">
                  <c:v>-8.9100652418836788</c:v>
                </c:pt>
                <c:pt idx="298">
                  <c:v>-8.8294759285892717</c:v>
                </c:pt>
                <c:pt idx="299">
                  <c:v>-8.7461970713939561</c:v>
                </c:pt>
                <c:pt idx="300">
                  <c:v>-8.6602540378443855</c:v>
                </c:pt>
                <c:pt idx="301">
                  <c:v>-8.5716730070211238</c:v>
                </c:pt>
                <c:pt idx="302">
                  <c:v>-8.4804809615642611</c:v>
                </c:pt>
                <c:pt idx="303">
                  <c:v>-8.3867056794542432</c:v>
                </c:pt>
                <c:pt idx="304">
                  <c:v>-8.2903757255504154</c:v>
                </c:pt>
                <c:pt idx="305">
                  <c:v>-8.1915204428899173</c:v>
                </c:pt>
                <c:pt idx="306">
                  <c:v>-8.0901699437494763</c:v>
                </c:pt>
                <c:pt idx="307">
                  <c:v>-7.986355100472931</c:v>
                </c:pt>
                <c:pt idx="308">
                  <c:v>-7.8801075360672179</c:v>
                </c:pt>
                <c:pt idx="309">
                  <c:v>-7.7714596145697081</c:v>
                </c:pt>
                <c:pt idx="310">
                  <c:v>-7.6604444311897808</c:v>
                </c:pt>
                <c:pt idx="311">
                  <c:v>-7.5470958022277221</c:v>
                </c:pt>
                <c:pt idx="312">
                  <c:v>-7.4314482547739455</c:v>
                </c:pt>
                <c:pt idx="313">
                  <c:v>-7.3135370161917033</c:v>
                </c:pt>
                <c:pt idx="314">
                  <c:v>-7.1933980033865117</c:v>
                </c:pt>
                <c:pt idx="315">
                  <c:v>-7.0710678118654773</c:v>
                </c:pt>
                <c:pt idx="316">
                  <c:v>-6.9465837045899761</c:v>
                </c:pt>
                <c:pt idx="317">
                  <c:v>-6.8199836006249823</c:v>
                </c:pt>
                <c:pt idx="318">
                  <c:v>-6.6913060635885815</c:v>
                </c:pt>
                <c:pt idx="319">
                  <c:v>-6.5605902899050736</c:v>
                </c:pt>
                <c:pt idx="320">
                  <c:v>-6.4278760968653961</c:v>
                </c:pt>
                <c:pt idx="321">
                  <c:v>-6.2932039104983781</c:v>
                </c:pt>
                <c:pt idx="322">
                  <c:v>-6.1566147532565818</c:v>
                </c:pt>
                <c:pt idx="323">
                  <c:v>-6.0181502315204831</c:v>
                </c:pt>
                <c:pt idx="324">
                  <c:v>-5.8778525229247336</c:v>
                </c:pt>
                <c:pt idx="325">
                  <c:v>-5.7357643635104649</c:v>
                </c:pt>
                <c:pt idx="326">
                  <c:v>-5.5919290347074657</c:v>
                </c:pt>
                <c:pt idx="327">
                  <c:v>-5.4463903501502697</c:v>
                </c:pt>
                <c:pt idx="328">
                  <c:v>-5.2991926423320503</c:v>
                </c:pt>
                <c:pt idx="329">
                  <c:v>-5.1503807491005453</c:v>
                </c:pt>
                <c:pt idx="330">
                  <c:v>-5.0000000000000044</c:v>
                </c:pt>
                <c:pt idx="331">
                  <c:v>-4.8480962024633687</c:v>
                </c:pt>
                <c:pt idx="332">
                  <c:v>-4.6947156278589084</c:v>
                </c:pt>
                <c:pt idx="333">
                  <c:v>-4.5399049973954693</c:v>
                </c:pt>
                <c:pt idx="334">
                  <c:v>-4.3837114678907776</c:v>
                </c:pt>
                <c:pt idx="335">
                  <c:v>-4.2261826174069919</c:v>
                </c:pt>
                <c:pt idx="336">
                  <c:v>-4.0673664307580015</c:v>
                </c:pt>
                <c:pt idx="337">
                  <c:v>-3.9073112848927387</c:v>
                </c:pt>
                <c:pt idx="338">
                  <c:v>-3.7460659341591236</c:v>
                </c:pt>
                <c:pt idx="339">
                  <c:v>-3.5836794954530076</c:v>
                </c:pt>
                <c:pt idx="340">
                  <c:v>-3.4202014332566861</c:v>
                </c:pt>
                <c:pt idx="341">
                  <c:v>-3.255681544571567</c:v>
                </c:pt>
                <c:pt idx="342">
                  <c:v>-3.0901699437494763</c:v>
                </c:pt>
                <c:pt idx="343">
                  <c:v>-2.9237170472273717</c:v>
                </c:pt>
                <c:pt idx="344">
                  <c:v>-2.7563735581699893</c:v>
                </c:pt>
                <c:pt idx="345">
                  <c:v>-2.588190451025207</c:v>
                </c:pt>
                <c:pt idx="346">
                  <c:v>-2.4192189559966786</c:v>
                </c:pt>
                <c:pt idx="347">
                  <c:v>-2.2495105434386535</c:v>
                </c:pt>
                <c:pt idx="348">
                  <c:v>-2.0791169081775989</c:v>
                </c:pt>
                <c:pt idx="349">
                  <c:v>-1.9080899537654465</c:v>
                </c:pt>
                <c:pt idx="350">
                  <c:v>-1.7364817766693039</c:v>
                </c:pt>
                <c:pt idx="351">
                  <c:v>-1.5643446504023113</c:v>
                </c:pt>
                <c:pt idx="352">
                  <c:v>-1.3917310096006588</c:v>
                </c:pt>
                <c:pt idx="353">
                  <c:v>-1.2186934340514723</c:v>
                </c:pt>
                <c:pt idx="354">
                  <c:v>-1.0452846326765342</c:v>
                </c:pt>
                <c:pt idx="355">
                  <c:v>-0.87155742747658316</c:v>
                </c:pt>
                <c:pt idx="356">
                  <c:v>-0.69756473744125636</c:v>
                </c:pt>
                <c:pt idx="357">
                  <c:v>-0.5233595624294437</c:v>
                </c:pt>
                <c:pt idx="358">
                  <c:v>-0.34899496702500821</c:v>
                </c:pt>
                <c:pt idx="359">
                  <c:v>-0.1745240643728356</c:v>
                </c:pt>
                <c:pt idx="360">
                  <c:v>-2.45029690981724E-15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FD4-4936-837F-391AE66D2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052864"/>
        <c:axId val="1015050464"/>
      </c:scatterChart>
      <c:valAx>
        <c:axId val="101505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5050464"/>
        <c:crosses val="autoZero"/>
        <c:crossBetween val="midCat"/>
      </c:valAx>
      <c:valAx>
        <c:axId val="101505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505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하이포사이클로이드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'에피,하이포'!$G$2:$G$362</c:f>
              <c:numCache>
                <c:formatCode>General</c:formatCode>
                <c:ptCount val="361"/>
                <c:pt idx="0">
                  <c:v>10</c:v>
                </c:pt>
                <c:pt idx="1">
                  <c:v>9.993909661770779</c:v>
                </c:pt>
                <c:pt idx="2">
                  <c:v>9.9756627536359073</c:v>
                </c:pt>
                <c:pt idx="3">
                  <c:v>9.9453314795042012</c:v>
                </c:pt>
                <c:pt idx="4">
                  <c:v>9.9030357939552314</c:v>
                </c:pt>
                <c:pt idx="5">
                  <c:v>9.8489428263057803</c:v>
                </c:pt>
                <c:pt idx="6">
                  <c:v>9.7832660782313887</c:v>
                </c:pt>
                <c:pt idx="7">
                  <c:v>9.706264398848429</c:v>
                </c:pt>
                <c:pt idx="8">
                  <c:v>9.6182407422454155</c:v>
                </c:pt>
                <c:pt idx="9">
                  <c:v>9.5195407135109971</c:v>
                </c:pt>
                <c:pt idx="10">
                  <c:v>9.4105509103356209</c:v>
                </c:pt>
                <c:pt idx="11">
                  <c:v>9.291697068258614</c:v>
                </c:pt>
                <c:pt idx="12">
                  <c:v>9.163442018588162</c:v>
                </c:pt>
                <c:pt idx="13">
                  <c:v>9.0262834689331992</c:v>
                </c:pt>
                <c:pt idx="14">
                  <c:v>8.8807516171494658</c:v>
                </c:pt>
                <c:pt idx="15">
                  <c:v>8.7274066103125474</c:v>
                </c:pt>
                <c:pt idx="16">
                  <c:v>8.5668358610847068</c:v>
                </c:pt>
                <c:pt idx="17">
                  <c:v>8.3996512345361083</c:v>
                </c:pt>
                <c:pt idx="18">
                  <c:v>8.2264861191111223</c:v>
                </c:pt>
                <c:pt idx="19">
                  <c:v>8.0479923959938695</c:v>
                </c:pt>
                <c:pt idx="20">
                  <c:v>7.8648373216211285</c:v>
                </c:pt>
                <c:pt idx="21">
                  <c:v>7.6777003385129206</c:v>
                </c:pt>
                <c:pt idx="22">
                  <c:v>7.4872698299393017</c:v>
                </c:pt>
                <c:pt idx="23">
                  <c:v>7.2942398342145207</c:v>
                </c:pt>
                <c:pt idx="24">
                  <c:v>7.0993067346054994</c:v>
                </c:pt>
                <c:pt idx="25">
                  <c:v>6.9031659409593384</c:v>
                </c:pt>
                <c:pt idx="26">
                  <c:v>6.7065085791940007</c:v>
                </c:pt>
                <c:pt idx="27">
                  <c:v>6.5100182047570483</c:v>
                </c:pt>
                <c:pt idx="28">
                  <c:v>6.314367556039592</c:v>
                </c:pt>
                <c:pt idx="29">
                  <c:v>6.1202153635370111</c:v>
                </c:pt>
                <c:pt idx="30">
                  <c:v>5.9282032302755105</c:v>
                </c:pt>
                <c:pt idx="31">
                  <c:v>5.7389525986754055</c:v>
                </c:pt>
                <c:pt idx="32">
                  <c:v>5.5530618186000913</c:v>
                </c:pt>
                <c:pt idx="33">
                  <c:v>5.3711033308456759</c:v>
                </c:pt>
                <c:pt idx="34">
                  <c:v>5.1936209797630308</c:v>
                </c:pt>
                <c:pt idx="35">
                  <c:v>5.0211274680739786</c:v>
                </c:pt>
                <c:pt idx="36">
                  <c:v>4.8541019662496847</c:v>
                </c:pt>
                <c:pt idx="37">
                  <c:v>4.6929878880654909</c:v>
                </c:pt>
                <c:pt idx="38">
                  <c:v>4.5381908431359212</c:v>
                </c:pt>
                <c:pt idx="39">
                  <c:v>4.3900767763705657</c:v>
                </c:pt>
                <c:pt idx="40">
                  <c:v>4.2489703033800073</c:v>
                </c:pt>
                <c:pt idx="41">
                  <c:v>4.1151532499055383</c:v>
                </c:pt>
                <c:pt idx="42">
                  <c:v>3.9888634023515426</c:v>
                </c:pt>
                <c:pt idx="43">
                  <c:v>3.870293475470223</c:v>
                </c:pt>
                <c:pt idx="44">
                  <c:v>3.7595903021895611</c:v>
                </c:pt>
                <c:pt idx="45">
                  <c:v>3.6568542494923806</c:v>
                </c:pt>
                <c:pt idx="46">
                  <c:v>3.5621388631523296</c:v>
                </c:pt>
                <c:pt idx="47">
                  <c:v>3.4754507430168475</c:v>
                </c:pt>
                <c:pt idx="48">
                  <c:v>3.3967496494032545</c:v>
                </c:pt>
                <c:pt idx="49">
                  <c:v>3.3259488400474204</c:v>
                </c:pt>
                <c:pt idx="50">
                  <c:v>3.262915635920498</c:v>
                </c:pt>
                <c:pt idx="51">
                  <c:v>3.2074722131134985</c:v>
                </c:pt>
                <c:pt idx="52">
                  <c:v>3.1593966168874124</c:v>
                </c:pt>
                <c:pt idx="53">
                  <c:v>3.1184239929035349</c:v>
                </c:pt>
                <c:pt idx="54">
                  <c:v>3.0842480295898902</c:v>
                </c:pt>
                <c:pt idx="55">
                  <c:v>3.0565226045704135</c:v>
                </c:pt>
                <c:pt idx="56">
                  <c:v>3.0348636270886722</c:v>
                </c:pt>
                <c:pt idx="57">
                  <c:v>3.0188510674025002</c:v>
                </c:pt>
                <c:pt idx="58">
                  <c:v>3.0080311632143228</c:v>
                </c:pt>
                <c:pt idx="59">
                  <c:v>3.0019187923389401</c:v>
                </c:pt>
                <c:pt idx="60">
                  <c:v>3</c:v>
                </c:pt>
                <c:pt idx="61">
                  <c:v>3.0017346683925412</c:v>
                </c:pt>
                <c:pt idx="62">
                  <c:v>3.0065593154553021</c:v>
                </c:pt>
                <c:pt idx="63">
                  <c:v>3.0138900091664791</c:v>
                </c:pt>
                <c:pt idx="64">
                  <c:v>3.023125383113284</c:v>
                </c:pt>
                <c:pt idx="65">
                  <c:v>3.0336497385917349</c:v>
                </c:pt>
                <c:pt idx="66">
                  <c:v>3.0448362180710951</c:v>
                </c:pt>
                <c:pt idx="67">
                  <c:v>3.0560500345091883</c:v>
                </c:pt>
                <c:pt idx="68">
                  <c:v>3.0666517407322984</c:v>
                </c:pt>
                <c:pt idx="69">
                  <c:v>3.0760005228977092</c:v>
                </c:pt>
                <c:pt idx="70">
                  <c:v>3.0834575019392103</c:v>
                </c:pt>
                <c:pt idx="71">
                  <c:v>3.0883890268565888</c:v>
                </c:pt>
                <c:pt idx="72">
                  <c:v>3.0901699437494741</c:v>
                </c:pt>
                <c:pt idx="73">
                  <c:v>3.0881868246137181</c:v>
                </c:pt>
                <c:pt idx="74">
                  <c:v>3.0818411401141481</c:v>
                </c:pt>
                <c:pt idx="75">
                  <c:v>3.0705523608201659</c:v>
                </c:pt>
                <c:pt idx="76">
                  <c:v>3.0537609717388357</c:v>
                </c:pt>
                <c:pt idx="77">
                  <c:v>3.0309313854022362</c:v>
                </c:pt>
                <c:pt idx="78">
                  <c:v>3.0015547392597912</c:v>
                </c:pt>
                <c:pt idx="79">
                  <c:v>2.9651515636896608</c:v>
                </c:pt>
                <c:pt idx="80">
                  <c:v>2.9212743075733991</c:v>
                </c:pt>
                <c:pt idx="81">
                  <c:v>2.8695097090717421</c:v>
                </c:pt>
                <c:pt idx="82">
                  <c:v>2.8094809999933759</c:v>
                </c:pt>
                <c:pt idx="83">
                  <c:v>2.7408499329590335</c:v>
                </c:pt>
                <c:pt idx="84">
                  <c:v>2.6633186214264297</c:v>
                </c:pt>
                <c:pt idx="85">
                  <c:v>2.576631183553082</c:v>
                </c:pt>
                <c:pt idx="86">
                  <c:v>2.4805751818296398</c:v>
                </c:pt>
                <c:pt idx="87">
                  <c:v>2.3749828514111631</c:v>
                </c:pt>
                <c:pt idx="88">
                  <c:v>2.259732111103149</c:v>
                </c:pt>
                <c:pt idx="89">
                  <c:v>2.134747352017917</c:v>
                </c:pt>
                <c:pt idx="90">
                  <c:v>2.0000000000000004</c:v>
                </c:pt>
                <c:pt idx="91">
                  <c:v>1.8555088490213807</c:v>
                </c:pt>
                <c:pt idx="92">
                  <c:v>1.7013401638631331</c:v>
                </c:pt>
                <c:pt idx="93">
                  <c:v>1.5376075515240604</c:v>
                </c:pt>
                <c:pt idx="94">
                  <c:v>1.3644716019236349</c:v>
                </c:pt>
                <c:pt idx="95">
                  <c:v>1.1821392995905509</c:v>
                </c:pt>
                <c:pt idx="96">
                  <c:v>0.99086320914397308</c:v>
                </c:pt>
                <c:pt idx="97">
                  <c:v>0.7909404384766755</c:v>
                </c:pt>
                <c:pt idx="98">
                  <c:v>0.58271138463232952</c:v>
                </c:pt>
                <c:pt idx="99">
                  <c:v>0.36655826842804862</c:v>
                </c:pt>
                <c:pt idx="100">
                  <c:v>0.14290346490251382</c:v>
                </c:pt>
                <c:pt idx="101">
                  <c:v>-8.7792362335056051E-2</c:v>
                </c:pt>
                <c:pt idx="102">
                  <c:v>-0.32503231382435827</c:v>
                </c:pt>
                <c:pt idx="103">
                  <c:v>-0.56828548409960389</c:v>
                </c:pt>
                <c:pt idx="104">
                  <c:v>-0.81698935785584892</c:v>
                </c:pt>
                <c:pt idx="105">
                  <c:v>-1.0705523608201672</c:v>
                </c:pt>
                <c:pt idx="106">
                  <c:v>-1.3283565529578367</c:v>
                </c:pt>
                <c:pt idx="107">
                  <c:v>-1.5897604509500685</c:v>
                </c:pt>
                <c:pt idx="108">
                  <c:v>-1.8541019662496834</c:v>
                </c:pt>
                <c:pt idx="109">
                  <c:v>-2.1207014444579171</c:v>
                </c:pt>
                <c:pt idx="110">
                  <c:v>-2.3888647912714887</c:v>
                </c:pt>
                <c:pt idx="111">
                  <c:v>-2.6578866698270951</c:v>
                </c:pt>
                <c:pt idx="112">
                  <c:v>-2.9270537539222947</c:v>
                </c:pt>
                <c:pt idx="113">
                  <c:v>-3.1956480213191925</c:v>
                </c:pt>
                <c:pt idx="114">
                  <c:v>-3.4629500711417096</c:v>
                </c:pt>
                <c:pt idx="115">
                  <c:v>-3.7282424492594544</c:v>
                </c:pt>
                <c:pt idx="116">
                  <c:v>-3.9908129655119566</c:v>
                </c:pt>
                <c:pt idx="117">
                  <c:v>-4.249957986666268</c:v>
                </c:pt>
                <c:pt idx="118">
                  <c:v>-4.5049856891189526</c:v>
                </c:pt>
                <c:pt idx="119">
                  <c:v>-4.7552192555488508</c:v>
                </c:pt>
                <c:pt idx="120">
                  <c:v>-4.9999999999999964</c:v>
                </c:pt>
                <c:pt idx="121">
                  <c:v>-5.2386904062219282</c:v>
                </c:pt>
                <c:pt idx="122">
                  <c:v>-5.4706770645169538</c:v>
                </c:pt>
                <c:pt idx="123">
                  <c:v>-5.695373492837934</c:v>
                </c:pt>
                <c:pt idx="124">
                  <c:v>-5.9122228284432747</c:v>
                </c:pt>
                <c:pt idx="125">
                  <c:v>-6.120700377046326</c:v>
                </c:pt>
                <c:pt idx="126">
                  <c:v>-6.3203160070896782</c:v>
                </c:pt>
                <c:pt idx="127">
                  <c:v>-6.5106163775292396</c:v>
                </c:pt>
                <c:pt idx="128">
                  <c:v>-6.6911869883231203</c:v>
                </c:pt>
                <c:pt idx="129">
                  <c:v>-6.8616540436838989</c:v>
                </c:pt>
                <c:pt idx="130">
                  <c:v>-7.0216861190641318</c:v>
                </c:pt>
                <c:pt idx="131">
                  <c:v>-7.1709956238006942</c:v>
                </c:pt>
                <c:pt idx="132">
                  <c:v>-7.3093400523384773</c:v>
                </c:pt>
                <c:pt idx="133">
                  <c:v>-7.4365230179831272</c:v>
                </c:pt>
                <c:pt idx="134">
                  <c:v>-7.5523950641916278</c:v>
                </c:pt>
                <c:pt idx="135">
                  <c:v>-7.6568542494923797</c:v>
                </c:pt>
                <c:pt idx="136">
                  <c:v>-7.7498465032288575</c:v>
                </c:pt>
                <c:pt idx="137">
                  <c:v>-7.831365750436504</c:v>
                </c:pt>
                <c:pt idx="138">
                  <c:v>-7.9014538052867636</c:v>
                </c:pt>
                <c:pt idx="139">
                  <c:v>-7.9602000336588139</c:v>
                </c:pt>
                <c:pt idx="140">
                  <c:v>-8.007740786523641</c:v>
                </c:pt>
                <c:pt idx="141">
                  <c:v>-8.0442586069409678</c:v>
                </c:pt>
                <c:pt idx="142">
                  <c:v>-8.0699812145716301</c:v>
                </c:pt>
                <c:pt idx="143">
                  <c:v>-8.0851802726911952</c:v>
                </c:pt>
                <c:pt idx="144">
                  <c:v>-8.0901699437494745</c:v>
                </c:pt>
                <c:pt idx="145">
                  <c:v>-8.0853052405498911</c:v>
                </c:pt>
                <c:pt idx="146">
                  <c:v>-8.0709801811176352</c:v>
                </c:pt>
                <c:pt idx="147">
                  <c:v>-8.0476257562811089</c:v>
                </c:pt>
                <c:pt idx="148">
                  <c:v>-8.0157077199027249</c:v>
                </c:pt>
                <c:pt idx="149">
                  <c:v>-7.9757242125583927</c:v>
                </c:pt>
                <c:pt idx="150">
                  <c:v>-7.9282032302755097</c:v>
                </c:pt>
                <c:pt idx="151">
                  <c:v>-7.8736999506933216</c:v>
                </c:pt>
                <c:pt idx="152">
                  <c:v>-7.8127939297032389</c:v>
                </c:pt>
                <c:pt idx="153">
                  <c:v>-7.7460861822568381</c:v>
                </c:pt>
                <c:pt idx="154">
                  <c:v>-7.674196161592671</c:v>
                </c:pt>
                <c:pt idx="155">
                  <c:v>-7.5977586516270605</c:v>
                </c:pt>
                <c:pt idx="156">
                  <c:v>-7.5174205876761153</c:v>
                </c:pt>
                <c:pt idx="157">
                  <c:v>-7.4338378210245253</c:v>
                </c:pt>
                <c:pt idx="158">
                  <c:v>-7.347671843129298</c:v>
                </c:pt>
                <c:pt idx="159">
                  <c:v>-7.2595864854423064</c:v>
                </c:pt>
                <c:pt idx="160">
                  <c:v>-7.1702446109534073</c:v>
                </c:pt>
                <c:pt idx="161">
                  <c:v>-7.0803048135951983</c:v>
                </c:pt>
                <c:pt idx="162">
                  <c:v>-6.9904181416113342</c:v>
                </c:pt>
                <c:pt idx="163">
                  <c:v>-6.9012248608724596</c:v>
                </c:pt>
                <c:pt idx="164">
                  <c:v>-6.8133512739283972</c:v>
                </c:pt>
                <c:pt idx="165">
                  <c:v>-6.7274066103125474</c:v>
                </c:pt>
                <c:pt idx="166">
                  <c:v>-6.6439800032664778</c:v>
                </c:pt>
                <c:pt idx="167">
                  <c:v>-6.5636375676305656</c:v>
                </c:pt>
                <c:pt idx="168">
                  <c:v>-6.486919593152729</c:v>
                </c:pt>
                <c:pt idx="169">
                  <c:v>-6.4143378669040105</c:v>
                </c:pt>
                <c:pt idx="170">
                  <c:v>-6.3463731378597075</c:v>
                </c:pt>
                <c:pt idx="171">
                  <c:v>-6.2834727360112073</c:v>
                </c:pt>
                <c:pt idx="172">
                  <c:v>-6.2260483576197103</c:v>
                </c:pt>
                <c:pt idx="173">
                  <c:v>-6.1744740274127228</c:v>
                </c:pt>
                <c:pt idx="174">
                  <c:v>-6.1290842476609857</c:v>
                </c:pt>
                <c:pt idx="175">
                  <c:v>-6.0901723431621475</c:v>
                </c:pt>
                <c:pt idx="176">
                  <c:v>-6.0579890102019558</c:v>
                </c:pt>
                <c:pt idx="177">
                  <c:v>-6.0327410765689793</c:v>
                </c:pt>
                <c:pt idx="178">
                  <c:v>-6.0145904786696258</c:v>
                </c:pt>
                <c:pt idx="179">
                  <c:v>-6.0036534607314813</c:v>
                </c:pt>
                <c:pt idx="180">
                  <c:v>-6</c:v>
                </c:pt>
                <c:pt idx="181">
                  <c:v>-6.0036534607314813</c:v>
                </c:pt>
                <c:pt idx="182">
                  <c:v>-6.0145904786696249</c:v>
                </c:pt>
                <c:pt idx="183">
                  <c:v>-6.0327410765689784</c:v>
                </c:pt>
                <c:pt idx="184">
                  <c:v>-6.0579890102019558</c:v>
                </c:pt>
                <c:pt idx="185">
                  <c:v>-6.0901723431621466</c:v>
                </c:pt>
                <c:pt idx="186">
                  <c:v>-6.1290842476609848</c:v>
                </c:pt>
                <c:pt idx="187">
                  <c:v>-6.1744740274127219</c:v>
                </c:pt>
                <c:pt idx="188">
                  <c:v>-6.2260483576197103</c:v>
                </c:pt>
                <c:pt idx="189">
                  <c:v>-6.2834727360112073</c:v>
                </c:pt>
                <c:pt idx="190">
                  <c:v>-6.3463731378597092</c:v>
                </c:pt>
                <c:pt idx="191">
                  <c:v>-6.4143378669040088</c:v>
                </c:pt>
                <c:pt idx="192">
                  <c:v>-6.486919593152729</c:v>
                </c:pt>
                <c:pt idx="193">
                  <c:v>-6.5636375676305647</c:v>
                </c:pt>
                <c:pt idx="194">
                  <c:v>-6.6439800032664769</c:v>
                </c:pt>
                <c:pt idx="195">
                  <c:v>-6.7274066103125465</c:v>
                </c:pt>
                <c:pt idx="196">
                  <c:v>-6.8133512739283955</c:v>
                </c:pt>
                <c:pt idx="197">
                  <c:v>-6.9012248608724596</c:v>
                </c:pt>
                <c:pt idx="198">
                  <c:v>-6.9904181416113333</c:v>
                </c:pt>
                <c:pt idx="199">
                  <c:v>-7.0803048135951991</c:v>
                </c:pt>
                <c:pt idx="200">
                  <c:v>-7.1702446109534064</c:v>
                </c:pt>
                <c:pt idx="201">
                  <c:v>-7.2595864854423082</c:v>
                </c:pt>
                <c:pt idx="202">
                  <c:v>-7.3476718431292971</c:v>
                </c:pt>
                <c:pt idx="203">
                  <c:v>-7.4338378210245226</c:v>
                </c:pt>
                <c:pt idx="204">
                  <c:v>-7.5174205876761135</c:v>
                </c:pt>
                <c:pt idx="205">
                  <c:v>-7.5977586516270597</c:v>
                </c:pt>
                <c:pt idx="206">
                  <c:v>-7.674196161592671</c:v>
                </c:pt>
                <c:pt idx="207">
                  <c:v>-7.7460861822568372</c:v>
                </c:pt>
                <c:pt idx="208">
                  <c:v>-7.8127939297032398</c:v>
                </c:pt>
                <c:pt idx="209">
                  <c:v>-7.8736999506933207</c:v>
                </c:pt>
                <c:pt idx="210">
                  <c:v>-7.9282032302755097</c:v>
                </c:pt>
                <c:pt idx="211">
                  <c:v>-7.9757242125583918</c:v>
                </c:pt>
                <c:pt idx="212">
                  <c:v>-8.0157077199027231</c:v>
                </c:pt>
                <c:pt idx="213">
                  <c:v>-8.0476257562811089</c:v>
                </c:pt>
                <c:pt idx="214">
                  <c:v>-8.0709801811176369</c:v>
                </c:pt>
                <c:pt idx="215">
                  <c:v>-8.0853052405498911</c:v>
                </c:pt>
                <c:pt idx="216">
                  <c:v>-8.0901699437494745</c:v>
                </c:pt>
                <c:pt idx="217">
                  <c:v>-8.0851802726911952</c:v>
                </c:pt>
                <c:pt idx="218">
                  <c:v>-8.0699812145716301</c:v>
                </c:pt>
                <c:pt idx="219">
                  <c:v>-8.0442586069409678</c:v>
                </c:pt>
                <c:pt idx="220">
                  <c:v>-8.007740786523641</c:v>
                </c:pt>
                <c:pt idx="221">
                  <c:v>-7.9602000336588139</c:v>
                </c:pt>
                <c:pt idx="222">
                  <c:v>-7.9014538052867653</c:v>
                </c:pt>
                <c:pt idx="223">
                  <c:v>-7.8313657504365048</c:v>
                </c:pt>
                <c:pt idx="224">
                  <c:v>-7.7498465032288575</c:v>
                </c:pt>
                <c:pt idx="225">
                  <c:v>-7.6568542494923815</c:v>
                </c:pt>
                <c:pt idx="226">
                  <c:v>-7.5523950641916269</c:v>
                </c:pt>
                <c:pt idx="227">
                  <c:v>-7.436523017983129</c:v>
                </c:pt>
                <c:pt idx="228">
                  <c:v>-7.3093400523384755</c:v>
                </c:pt>
                <c:pt idx="229">
                  <c:v>-7.170995623800696</c:v>
                </c:pt>
                <c:pt idx="230">
                  <c:v>-7.0216861190641335</c:v>
                </c:pt>
                <c:pt idx="231">
                  <c:v>-6.861654043683906</c:v>
                </c:pt>
                <c:pt idx="232">
                  <c:v>-6.6911869883231176</c:v>
                </c:pt>
                <c:pt idx="233">
                  <c:v>-6.5106163775292378</c:v>
                </c:pt>
                <c:pt idx="234">
                  <c:v>-6.3203160070896818</c:v>
                </c:pt>
                <c:pt idx="235">
                  <c:v>-6.1207003770463286</c:v>
                </c:pt>
                <c:pt idx="236">
                  <c:v>-5.912222828443273</c:v>
                </c:pt>
                <c:pt idx="237">
                  <c:v>-5.6953734928379314</c:v>
                </c:pt>
                <c:pt idx="238">
                  <c:v>-5.4706770645169573</c:v>
                </c:pt>
                <c:pt idx="239">
                  <c:v>-5.2386904062219308</c:v>
                </c:pt>
                <c:pt idx="240">
                  <c:v>-5.0000000000000071</c:v>
                </c:pt>
                <c:pt idx="241">
                  <c:v>-4.7552192555488482</c:v>
                </c:pt>
                <c:pt idx="242">
                  <c:v>-4.5049856891189499</c:v>
                </c:pt>
                <c:pt idx="243">
                  <c:v>-4.2499579866662716</c:v>
                </c:pt>
                <c:pt idx="244">
                  <c:v>-3.9908129655119602</c:v>
                </c:pt>
                <c:pt idx="245">
                  <c:v>-3.7282424492594513</c:v>
                </c:pt>
                <c:pt idx="246">
                  <c:v>-3.4629500711417065</c:v>
                </c:pt>
                <c:pt idx="247">
                  <c:v>-3.1956480213191929</c:v>
                </c:pt>
                <c:pt idx="248">
                  <c:v>-2.9270537539222987</c:v>
                </c:pt>
                <c:pt idx="249">
                  <c:v>-2.6578866698271026</c:v>
                </c:pt>
                <c:pt idx="250">
                  <c:v>-2.388864791271486</c:v>
                </c:pt>
                <c:pt idx="251">
                  <c:v>-2.1207014444579175</c:v>
                </c:pt>
                <c:pt idx="252">
                  <c:v>-1.8541019662496869</c:v>
                </c:pt>
                <c:pt idx="253">
                  <c:v>-1.5897604509500756</c:v>
                </c:pt>
                <c:pt idx="254">
                  <c:v>-1.3283565529578341</c:v>
                </c:pt>
                <c:pt idx="255">
                  <c:v>-1.0705523608201641</c:v>
                </c:pt>
                <c:pt idx="256">
                  <c:v>-0.81698935785584914</c:v>
                </c:pt>
                <c:pt idx="257">
                  <c:v>-0.56828548409960722</c:v>
                </c:pt>
                <c:pt idx="258">
                  <c:v>-0.3250323138243647</c:v>
                </c:pt>
                <c:pt idx="259">
                  <c:v>-8.7792362335053387E-2</c:v>
                </c:pt>
                <c:pt idx="260">
                  <c:v>0.1429034649025136</c:v>
                </c:pt>
                <c:pt idx="261">
                  <c:v>0.36655826842804573</c:v>
                </c:pt>
                <c:pt idx="262">
                  <c:v>0.58271138463232375</c:v>
                </c:pt>
                <c:pt idx="263">
                  <c:v>0.79094043847667772</c:v>
                </c:pt>
                <c:pt idx="264">
                  <c:v>0.9908632091439753</c:v>
                </c:pt>
                <c:pt idx="265">
                  <c:v>1.1821392995905506</c:v>
                </c:pt>
                <c:pt idx="266">
                  <c:v>1.3644716019236325</c:v>
                </c:pt>
                <c:pt idx="267">
                  <c:v>1.5376075515240561</c:v>
                </c:pt>
                <c:pt idx="268">
                  <c:v>1.7013401638631349</c:v>
                </c:pt>
                <c:pt idx="269">
                  <c:v>1.8555088490213805</c:v>
                </c:pt>
                <c:pt idx="270">
                  <c:v>1.9999999999999984</c:v>
                </c:pt>
                <c:pt idx="271">
                  <c:v>2.1347473520179134</c:v>
                </c:pt>
                <c:pt idx="272">
                  <c:v>2.2597321111031503</c:v>
                </c:pt>
                <c:pt idx="273">
                  <c:v>2.3749828514111626</c:v>
                </c:pt>
                <c:pt idx="274">
                  <c:v>2.4805751818296398</c:v>
                </c:pt>
                <c:pt idx="275">
                  <c:v>2.5766311835530806</c:v>
                </c:pt>
                <c:pt idx="276">
                  <c:v>2.6633186214264271</c:v>
                </c:pt>
                <c:pt idx="277">
                  <c:v>2.7408499329590343</c:v>
                </c:pt>
                <c:pt idx="278">
                  <c:v>2.8094809999933759</c:v>
                </c:pt>
                <c:pt idx="279">
                  <c:v>2.8695097090717412</c:v>
                </c:pt>
                <c:pt idx="280">
                  <c:v>2.9212743075733978</c:v>
                </c:pt>
                <c:pt idx="281">
                  <c:v>2.9651515636896617</c:v>
                </c:pt>
                <c:pt idx="282">
                  <c:v>3.0015547392597912</c:v>
                </c:pt>
                <c:pt idx="283">
                  <c:v>3.0309313854022366</c:v>
                </c:pt>
                <c:pt idx="284">
                  <c:v>3.0537609717388352</c:v>
                </c:pt>
                <c:pt idx="285">
                  <c:v>3.0705523608201659</c:v>
                </c:pt>
                <c:pt idx="286">
                  <c:v>3.0818411401141486</c:v>
                </c:pt>
                <c:pt idx="287">
                  <c:v>3.0881868246137176</c:v>
                </c:pt>
                <c:pt idx="288">
                  <c:v>3.0901699437494741</c:v>
                </c:pt>
                <c:pt idx="289">
                  <c:v>3.0883890268565892</c:v>
                </c:pt>
                <c:pt idx="290">
                  <c:v>3.0834575019392103</c:v>
                </c:pt>
                <c:pt idx="291">
                  <c:v>3.0760005228977092</c:v>
                </c:pt>
                <c:pt idx="292">
                  <c:v>3.0666517407322984</c:v>
                </c:pt>
                <c:pt idx="293">
                  <c:v>3.0560500345091883</c:v>
                </c:pt>
                <c:pt idx="294">
                  <c:v>3.0448362180710951</c:v>
                </c:pt>
                <c:pt idx="295">
                  <c:v>3.0336497385917345</c:v>
                </c:pt>
                <c:pt idx="296">
                  <c:v>3.0231253831132836</c:v>
                </c:pt>
                <c:pt idx="297">
                  <c:v>3.01389000916648</c:v>
                </c:pt>
                <c:pt idx="298">
                  <c:v>3.0065593154553021</c:v>
                </c:pt>
                <c:pt idx="299">
                  <c:v>3.0017346683925412</c:v>
                </c:pt>
                <c:pt idx="300">
                  <c:v>3</c:v>
                </c:pt>
                <c:pt idx="301">
                  <c:v>3.0019187923389401</c:v>
                </c:pt>
                <c:pt idx="302">
                  <c:v>3.0080311632143228</c:v>
                </c:pt>
                <c:pt idx="303">
                  <c:v>3.0188510674024998</c:v>
                </c:pt>
                <c:pt idx="304">
                  <c:v>3.0348636270886731</c:v>
                </c:pt>
                <c:pt idx="305">
                  <c:v>3.0565226045704126</c:v>
                </c:pt>
                <c:pt idx="306">
                  <c:v>3.0842480295898893</c:v>
                </c:pt>
                <c:pt idx="307">
                  <c:v>3.1184239929035336</c:v>
                </c:pt>
                <c:pt idx="308">
                  <c:v>3.1593966168874132</c:v>
                </c:pt>
                <c:pt idx="309">
                  <c:v>3.2074722131134976</c:v>
                </c:pt>
                <c:pt idx="310">
                  <c:v>3.2629156359204976</c:v>
                </c:pt>
                <c:pt idx="311">
                  <c:v>3.3259488400474195</c:v>
                </c:pt>
                <c:pt idx="312">
                  <c:v>3.3967496494032519</c:v>
                </c:pt>
                <c:pt idx="313">
                  <c:v>3.475450743016848</c:v>
                </c:pt>
                <c:pt idx="314">
                  <c:v>3.5621388631523296</c:v>
                </c:pt>
                <c:pt idx="315">
                  <c:v>3.6568542494923788</c:v>
                </c:pt>
                <c:pt idx="316">
                  <c:v>3.759590302189558</c:v>
                </c:pt>
                <c:pt idx="317">
                  <c:v>3.8702934754702252</c:v>
                </c:pt>
                <c:pt idx="318">
                  <c:v>3.9888634023515426</c:v>
                </c:pt>
                <c:pt idx="319">
                  <c:v>4.1151532499055374</c:v>
                </c:pt>
                <c:pt idx="320">
                  <c:v>4.2489703033800046</c:v>
                </c:pt>
                <c:pt idx="321">
                  <c:v>4.3900767763705613</c:v>
                </c:pt>
                <c:pt idx="322">
                  <c:v>4.538190843135923</c:v>
                </c:pt>
                <c:pt idx="323">
                  <c:v>4.6929878880654901</c:v>
                </c:pt>
                <c:pt idx="324">
                  <c:v>4.8541019662496829</c:v>
                </c:pt>
                <c:pt idx="325">
                  <c:v>5.0211274680739741</c:v>
                </c:pt>
                <c:pt idx="326">
                  <c:v>5.1936209797630344</c:v>
                </c:pt>
                <c:pt idx="327">
                  <c:v>5.3711033308456759</c:v>
                </c:pt>
                <c:pt idx="328">
                  <c:v>5.5530618186000904</c:v>
                </c:pt>
                <c:pt idx="329">
                  <c:v>5.7389525986754011</c:v>
                </c:pt>
                <c:pt idx="330">
                  <c:v>5.9282032302755034</c:v>
                </c:pt>
                <c:pt idx="331">
                  <c:v>6.1202153635370129</c:v>
                </c:pt>
                <c:pt idx="332">
                  <c:v>6.3143675560395911</c:v>
                </c:pt>
                <c:pt idx="333">
                  <c:v>6.5100182047570456</c:v>
                </c:pt>
                <c:pt idx="334">
                  <c:v>6.7065085791939953</c:v>
                </c:pt>
                <c:pt idx="335">
                  <c:v>6.903165940959342</c:v>
                </c:pt>
                <c:pt idx="336">
                  <c:v>7.0993067346055012</c:v>
                </c:pt>
                <c:pt idx="337">
                  <c:v>7.2942398342145189</c:v>
                </c:pt>
                <c:pt idx="338">
                  <c:v>7.4872698299392981</c:v>
                </c:pt>
                <c:pt idx="339">
                  <c:v>7.6777003385129152</c:v>
                </c:pt>
                <c:pt idx="340">
                  <c:v>7.8648373216211294</c:v>
                </c:pt>
                <c:pt idx="341">
                  <c:v>8.0479923959938695</c:v>
                </c:pt>
                <c:pt idx="342">
                  <c:v>8.2264861191111223</c:v>
                </c:pt>
                <c:pt idx="343">
                  <c:v>8.399651234536103</c:v>
                </c:pt>
                <c:pt idx="344">
                  <c:v>8.5668358610847086</c:v>
                </c:pt>
                <c:pt idx="345">
                  <c:v>8.7274066103125474</c:v>
                </c:pt>
                <c:pt idx="346">
                  <c:v>8.880751617149464</c:v>
                </c:pt>
                <c:pt idx="347">
                  <c:v>9.0262834689331957</c:v>
                </c:pt>
                <c:pt idx="348">
                  <c:v>9.1634420185881584</c:v>
                </c:pt>
                <c:pt idx="349">
                  <c:v>9.291697068258614</c:v>
                </c:pt>
                <c:pt idx="350">
                  <c:v>9.4105509103356191</c:v>
                </c:pt>
                <c:pt idx="351">
                  <c:v>9.5195407135109953</c:v>
                </c:pt>
                <c:pt idx="352">
                  <c:v>9.6182407422454119</c:v>
                </c:pt>
                <c:pt idx="353">
                  <c:v>9.7062643988484325</c:v>
                </c:pt>
                <c:pt idx="354">
                  <c:v>9.7832660782313887</c:v>
                </c:pt>
                <c:pt idx="355">
                  <c:v>9.8489428263057803</c:v>
                </c:pt>
                <c:pt idx="356">
                  <c:v>9.9030357939552296</c:v>
                </c:pt>
                <c:pt idx="357">
                  <c:v>9.9453314795042012</c:v>
                </c:pt>
                <c:pt idx="358">
                  <c:v>9.9756627536359073</c:v>
                </c:pt>
                <c:pt idx="359">
                  <c:v>9.993909661770779</c:v>
                </c:pt>
                <c:pt idx="360">
                  <c:v>10</c:v>
                </c:pt>
              </c:numCache>
            </c:numRef>
          </c:xVal>
          <c:yVal>
            <c:numRef>
              <c:f>'에피,하이포'!$H$2:$H$362</c:f>
              <c:numCache>
                <c:formatCode>General</c:formatCode>
                <c:ptCount val="361"/>
                <c:pt idx="0">
                  <c:v>0</c:v>
                </c:pt>
                <c:pt idx="1">
                  <c:v>1.0630401001748835E-4</c:v>
                </c:pt>
                <c:pt idx="2">
                  <c:v>8.4977169987687784E-4</c:v>
                </c:pt>
                <c:pt idx="3">
                  <c:v>2.8642683080319919E-3</c:v>
                </c:pt>
                <c:pt idx="4">
                  <c:v>6.7770783190040929E-3</c:v>
                </c:pt>
                <c:pt idx="5">
                  <c:v>1.3205655329927901E-2</c:v>
                </c:pt>
                <c:pt idx="6">
                  <c:v>2.275441998962735E-2</c:v>
                </c:pt>
                <c:pt idx="7">
                  <c:v>3.6011621669398197E-2</c:v>
                </c:pt>
                <c:pt idx="8">
                  <c:v>5.3546279214113701E-2</c:v>
                </c:pt>
                <c:pt idx="9">
                  <c:v>7.5905215736900677E-2</c:v>
                </c:pt>
                <c:pt idx="10">
                  <c:v>0.10361020196236415</c:v>
                </c:pt>
                <c:pt idx="11">
                  <c:v>0.13715522209436393</c:v>
                </c:pt>
                <c:pt idx="12">
                  <c:v>0.17700387558728625</c:v>
                </c:pt>
                <c:pt idx="13">
                  <c:v>0.223586927537476</c:v>
                </c:pt>
                <c:pt idx="14">
                  <c:v>0.27730001968725837</c:v>
                </c:pt>
                <c:pt idx="15">
                  <c:v>0.33850155325128872</c:v>
                </c:pt>
                <c:pt idx="16">
                  <c:v>0.40751075393765923</c:v>
                </c:pt>
                <c:pt idx="17">
                  <c:v>0.48460592864831931</c:v>
                </c:pt>
                <c:pt idx="18">
                  <c:v>0.5700229224092721</c:v>
                </c:pt>
                <c:pt idx="19">
                  <c:v>0.66395378310526065</c:v>
                </c:pt>
                <c:pt idx="20">
                  <c:v>0.76654564058093366</c:v>
                </c:pt>
                <c:pt idx="21">
                  <c:v>0.87789980562585557</c:v>
                </c:pt>
                <c:pt idx="22">
                  <c:v>0.99807109328910459</c:v>
                </c:pt>
                <c:pt idx="23">
                  <c:v>1.1270673738759986</c:v>
                </c:pt>
                <c:pt idx="24">
                  <c:v>1.2648493538698551</c:v>
                </c:pt>
                <c:pt idx="25">
                  <c:v>1.4113305879011795</c:v>
                </c:pt>
                <c:pt idx="26">
                  <c:v>1.5663777217606263</c:v>
                </c:pt>
                <c:pt idx="27">
                  <c:v>1.7298109653260667</c:v>
                </c:pt>
                <c:pt idx="28">
                  <c:v>1.9014047931535516</c:v>
                </c:pt>
                <c:pt idx="29">
                  <c:v>2.0808888693723624</c:v>
                </c:pt>
                <c:pt idx="30">
                  <c:v>2.2679491924311224</c:v>
                </c:pt>
                <c:pt idx="31">
                  <c:v>2.46222945417035</c:v>
                </c:pt>
                <c:pt idx="32">
                  <c:v>2.6633326066521952</c:v>
                </c:pt>
                <c:pt idx="33">
                  <c:v>2.8708226291654282</c:v>
                </c:pt>
                <c:pt idx="34">
                  <c:v>3.0842264868479807</c:v>
                </c:pt>
                <c:pt idx="35">
                  <c:v>3.3030362714352894</c:v>
                </c:pt>
                <c:pt idx="36">
                  <c:v>3.5267115137548384</c:v>
                </c:pt>
                <c:pt idx="37">
                  <c:v>3.7546816567499763</c:v>
                </c:pt>
                <c:pt idx="38">
                  <c:v>3.9863486770334848</c:v>
                </c:pt>
                <c:pt idx="39">
                  <c:v>4.2210898422470979</c:v>
                </c:pt>
                <c:pt idx="40">
                  <c:v>4.4582605908409763</c:v>
                </c:pt>
                <c:pt idx="41">
                  <c:v>4.69719752029006</c:v>
                </c:pt>
                <c:pt idx="42">
                  <c:v>4.9372214692353475</c:v>
                </c:pt>
                <c:pt idx="43">
                  <c:v>5.1776406785798574</c:v>
                </c:pt>
                <c:pt idx="44">
                  <c:v>5.4177540161837268</c:v>
                </c:pt>
                <c:pt idx="45">
                  <c:v>5.6568542494923797</c:v>
                </c:pt>
                <c:pt idx="46">
                  <c:v>5.894231350197459</c:v>
                </c:pt>
                <c:pt idx="47">
                  <c:v>6.1291758148734949</c:v>
                </c:pt>
                <c:pt idx="48">
                  <c:v>6.3609819854546732</c:v>
                </c:pt>
                <c:pt idx="49">
                  <c:v>6.5889513534161743</c:v>
                </c:pt>
                <c:pt idx="50">
                  <c:v>6.8123958316031619</c:v>
                </c:pt>
                <c:pt idx="51">
                  <c:v>7.0306409778073675</c:v>
                </c:pt>
                <c:pt idx="52">
                  <c:v>7.2430291544255576</c:v>
                </c:pt>
                <c:pt idx="53">
                  <c:v>7.448922608844752</c:v>
                </c:pt>
                <c:pt idx="54">
                  <c:v>7.6477064595845254</c:v>
                </c:pt>
                <c:pt idx="55">
                  <c:v>7.8387915736850129</c:v>
                </c:pt>
                <c:pt idx="56">
                  <c:v>8.0216173213583293</c:v>
                </c:pt>
                <c:pt idx="57">
                  <c:v>8.1956541945181804</c:v>
                </c:pt>
                <c:pt idx="58">
                  <c:v>8.3604062764648521</c:v>
                </c:pt>
                <c:pt idx="59">
                  <c:v>8.5154135507269828</c:v>
                </c:pt>
                <c:pt idx="60">
                  <c:v>8.6602540378443855</c:v>
                </c:pt>
                <c:pt idx="61">
                  <c:v>8.7945457497134996</c:v>
                </c:pt>
                <c:pt idx="62">
                  <c:v>8.917948452004989</c:v>
                </c:pt>
                <c:pt idx="63">
                  <c:v>9.0301652260972496</c:v>
                </c:pt>
                <c:pt idx="64">
                  <c:v>9.1309438229453299</c:v>
                </c:pt>
                <c:pt idx="65">
                  <c:v>9.2200778023176149</c:v>
                </c:pt>
                <c:pt idx="66">
                  <c:v>9.2974074518773531</c:v>
                </c:pt>
                <c:pt idx="67">
                  <c:v>9.3628204816577139</c:v>
                </c:pt>
                <c:pt idx="68">
                  <c:v>9.4162524905724911</c:v>
                </c:pt>
                <c:pt idx="69">
                  <c:v>9.4576872027141601</c:v>
                </c:pt>
                <c:pt idx="70">
                  <c:v>9.4871564723116819</c:v>
                </c:pt>
                <c:pt idx="71">
                  <c:v>9.5047400573465275</c:v>
                </c:pt>
                <c:pt idx="72">
                  <c:v>9.5105651629515364</c:v>
                </c:pt>
                <c:pt idx="73">
                  <c:v>9.5048057568378574</c:v>
                </c:pt>
                <c:pt idx="74">
                  <c:v>9.4876816601048848</c:v>
                </c:pt>
                <c:pt idx="75">
                  <c:v>9.4594574178814241</c:v>
                </c:pt>
                <c:pt idx="76">
                  <c:v>9.420440955318055</c:v>
                </c:pt>
                <c:pt idx="77">
                  <c:v>9.3709820254953264</c:v>
                </c:pt>
                <c:pt idx="78">
                  <c:v>9.3114704568252336</c:v>
                </c:pt>
                <c:pt idx="79">
                  <c:v>9.2423342084993063</c:v>
                </c:pt>
                <c:pt idx="80">
                  <c:v>9.1640372434707427</c:v>
                </c:pt>
                <c:pt idx="81">
                  <c:v>9.0770772293460489</c:v>
                </c:pt>
                <c:pt idx="82">
                  <c:v>8.9819830783989723</c:v>
                </c:pt>
                <c:pt idx="83">
                  <c:v>8.8793123387023574</c:v>
                </c:pt>
                <c:pt idx="84">
                  <c:v>8.7696484490977866</c:v>
                </c:pt>
                <c:pt idx="85">
                  <c:v>8.6535978713853012</c:v>
                </c:pt>
                <c:pt idx="86">
                  <c:v>8.5317871137125909</c:v>
                </c:pt>
                <c:pt idx="87">
                  <c:v>8.4048596596721108</c:v>
                </c:pt>
                <c:pt idx="88">
                  <c:v>8.2734728180728982</c:v>
                </c:pt>
                <c:pt idx="89">
                  <c:v>8.1382945087393814</c:v>
                </c:pt>
                <c:pt idx="90">
                  <c:v>8</c:v>
                </c:pt>
                <c:pt idx="91">
                  <c:v>7.8592686137628798</c:v>
                </c:pt>
                <c:pt idx="92">
                  <c:v>7.7167804142326357</c:v>
                </c:pt>
                <c:pt idx="93">
                  <c:v>7.5732128964010723</c:v>
                </c:pt>
                <c:pt idx="94">
                  <c:v>7.4292376904445945</c:v>
                </c:pt>
                <c:pt idx="95">
                  <c:v>7.2855172980826266</c:v>
                </c:pt>
                <c:pt idx="96">
                  <c:v>7.1427018767945851</c:v>
                </c:pt>
                <c:pt idx="97">
                  <c:v>7.0014260875587961</c:v>
                </c:pt>
                <c:pt idx="98">
                  <c:v>6.8623060214661535</c:v>
                </c:pt>
                <c:pt idx="99">
                  <c:v>6.7259362201761563</c:v>
                </c:pt>
                <c:pt idx="100">
                  <c:v>6.5928868047245857</c:v>
                </c:pt>
                <c:pt idx="101">
                  <c:v>6.4637007266633173</c:v>
                </c:pt>
                <c:pt idx="102">
                  <c:v>6.3388911549156575</c:v>
                </c:pt>
                <c:pt idx="103">
                  <c:v>6.2189390110684375</c:v>
                </c:pt>
                <c:pt idx="104">
                  <c:v>6.1042906650978885</c:v>
                </c:pt>
                <c:pt idx="105">
                  <c:v>5.9953558027436689</c:v>
                </c:pt>
                <c:pt idx="106">
                  <c:v>5.8925054749082175</c:v>
                </c:pt>
                <c:pt idx="107">
                  <c:v>5.7960703385707095</c:v>
                </c:pt>
                <c:pt idx="108">
                  <c:v>5.7063390977709219</c:v>
                </c:pt>
                <c:pt idx="109">
                  <c:v>5.623557152242542</c:v>
                </c:pt>
                <c:pt idx="110">
                  <c:v>5.5479254602628512</c:v>
                </c:pt>
                <c:pt idx="111">
                  <c:v>5.4795996212410678</c:v>
                </c:pt>
                <c:pt idx="112">
                  <c:v>5.4186891824961076</c:v>
                </c:pt>
                <c:pt idx="113">
                  <c:v>5.3652571735813304</c:v>
                </c:pt>
                <c:pt idx="114">
                  <c:v>5.3193198704042608</c:v>
                </c:pt>
                <c:pt idx="115">
                  <c:v>5.2808467902687841</c:v>
                </c:pt>
                <c:pt idx="116">
                  <c:v>5.2497609178413427</c:v>
                </c:pt>
                <c:pt idx="117">
                  <c:v>5.2259391609166359</c:v>
                </c:pt>
                <c:pt idx="118">
                  <c:v>5.2092130337378411</c:v>
                </c:pt>
                <c:pt idx="119">
                  <c:v>5.1993695645168323</c:v>
                </c:pt>
                <c:pt idx="120">
                  <c:v>5.1961524227066311</c:v>
                </c:pt>
                <c:pt idx="121">
                  <c:v>5.1992632605068154</c:v>
                </c:pt>
                <c:pt idx="122">
                  <c:v>5.2083632620379632</c:v>
                </c:pt>
                <c:pt idx="123">
                  <c:v>5.2230748926086035</c:v>
                </c:pt>
                <c:pt idx="124">
                  <c:v>5.2429838395223385</c:v>
                </c:pt>
                <c:pt idx="125">
                  <c:v>5.2676411349388559</c:v>
                </c:pt>
                <c:pt idx="126">
                  <c:v>5.2965654504146329</c:v>
                </c:pt>
                <c:pt idx="127">
                  <c:v>5.3292455519119333</c:v>
                </c:pt>
                <c:pt idx="128">
                  <c:v>5.3651429032819946</c:v>
                </c:pt>
                <c:pt idx="129">
                  <c:v>5.403694405504166</c:v>
                </c:pt>
                <c:pt idx="130">
                  <c:v>5.4443152583004863</c:v>
                </c:pt>
                <c:pt idx="131">
                  <c:v>5.486401930148177</c:v>
                </c:pt>
                <c:pt idx="132">
                  <c:v>5.5293352221836356</c:v>
                </c:pt>
                <c:pt idx="133">
                  <c:v>5.5724834110332324</c:v>
                </c:pt>
                <c:pt idx="134">
                  <c:v>5.6152054552209592</c:v>
                </c:pt>
                <c:pt idx="135">
                  <c:v>5.6568542494923797</c:v>
                </c:pt>
                <c:pt idx="136">
                  <c:v>5.6967799111602293</c:v>
                </c:pt>
                <c:pt idx="137">
                  <c:v>5.7343330824201191</c:v>
                </c:pt>
                <c:pt idx="138">
                  <c:v>5.7688682325063834</c:v>
                </c:pt>
                <c:pt idx="139">
                  <c:v>5.7997469435580564</c:v>
                </c:pt>
                <c:pt idx="140">
                  <c:v>5.8263411641436518</c:v>
                </c:pt>
                <c:pt idx="141">
                  <c:v>5.8480364145503003</c:v>
                </c:pt>
                <c:pt idx="142">
                  <c:v>5.8642349281770478</c:v>
                </c:pt>
                <c:pt idx="143">
                  <c:v>5.8743587136827955</c:v>
                </c:pt>
                <c:pt idx="144">
                  <c:v>5.8778525229247318</c:v>
                </c:pt>
                <c:pt idx="145">
                  <c:v>5.8741867101814469</c:v>
                </c:pt>
                <c:pt idx="146">
                  <c:v>5.8628599686839697</c:v>
                </c:pt>
                <c:pt idx="147">
                  <c:v>5.8434019310750056</c:v>
                </c:pt>
                <c:pt idx="148">
                  <c:v>5.8153756210790828</c:v>
                </c:pt>
                <c:pt idx="149">
                  <c:v>5.7783797443905174</c:v>
                </c:pt>
                <c:pt idx="150">
                  <c:v>5.7320508075688767</c:v>
                </c:pt>
                <c:pt idx="151">
                  <c:v>5.6760650545690305</c:v>
                </c:pt>
                <c:pt idx="152">
                  <c:v>5.6101402114207009</c:v>
                </c:pt>
                <c:pt idx="153">
                  <c:v>5.5340370305066813</c:v>
                </c:pt>
                <c:pt idx="154">
                  <c:v>5.4475606268646111</c:v>
                </c:pt>
                <c:pt idx="155">
                  <c:v>5.3505615999500122</c:v>
                </c:pt>
                <c:pt idx="156">
                  <c:v>5.24293693534295</c:v>
                </c:pt>
                <c:pt idx="157">
                  <c:v>5.1246306819523815</c:v>
                </c:pt>
                <c:pt idx="158">
                  <c:v>4.9956344013654892</c:v>
                </c:pt>
                <c:pt idx="159">
                  <c:v>4.8559873870989483</c:v>
                </c:pt>
                <c:pt idx="160">
                  <c:v>4.7057766526297673</c:v>
                </c:pt>
                <c:pt idx="161">
                  <c:v>4.5451366882092454</c:v>
                </c:pt>
                <c:pt idx="162">
                  <c:v>4.3742489875898878</c:v>
                </c:pt>
                <c:pt idx="163">
                  <c:v>4.1933413469154672</c:v>
                </c:pt>
                <c:pt idx="164">
                  <c:v>4.0026869391343283</c:v>
                </c:pt>
                <c:pt idx="165">
                  <c:v>3.8026031683890462</c:v>
                </c:pt>
                <c:pt idx="166">
                  <c:v>3.5934503099074253</c:v>
                </c:pt>
                <c:pt idx="167">
                  <c:v>3.3756299419643665</c:v>
                </c:pt>
                <c:pt idx="168">
                  <c:v>3.1495831774968628</c:v>
                </c:pt>
                <c:pt idx="169">
                  <c:v>2.9157887039303554</c:v>
                </c:pt>
                <c:pt idx="170">
                  <c:v>2.67476064070852</c:v>
                </c:pt>
                <c:pt idx="171">
                  <c:v>2.4270462249067948</c:v>
                </c:pt>
                <c:pt idx="172">
                  <c:v>2.1732233361469318</c:v>
                </c:pt>
                <c:pt idx="173">
                  <c:v>1.9138978728129623</c:v>
                </c:pt>
                <c:pt idx="174">
                  <c:v>1.6497009922928323</c:v>
                </c:pt>
                <c:pt idx="175">
                  <c:v>1.3812862286326033</c:v>
                </c:pt>
                <c:pt idx="176">
                  <c:v>1.1093265015870042</c:v>
                </c:pt>
                <c:pt idx="177">
                  <c:v>0.83451103157906892</c:v>
                </c:pt>
                <c:pt idx="178">
                  <c:v>0.5575421755401414</c:v>
                </c:pt>
                <c:pt idx="179">
                  <c:v>0.27913219898651753</c:v>
                </c:pt>
                <c:pt idx="180">
                  <c:v>1.960237527853792E-15</c:v>
                </c:pt>
                <c:pt idx="181">
                  <c:v>-0.27913219898652064</c:v>
                </c:pt>
                <c:pt idx="182">
                  <c:v>-0.55754217554013752</c:v>
                </c:pt>
                <c:pt idx="183">
                  <c:v>-0.83451103157906492</c:v>
                </c:pt>
                <c:pt idx="184">
                  <c:v>-1.1093265015870004</c:v>
                </c:pt>
                <c:pt idx="185">
                  <c:v>-1.3812862286325993</c:v>
                </c:pt>
                <c:pt idx="186">
                  <c:v>-1.6497009922928285</c:v>
                </c:pt>
                <c:pt idx="187">
                  <c:v>-1.9138978728129588</c:v>
                </c:pt>
                <c:pt idx="188">
                  <c:v>-2.1732233361469344</c:v>
                </c:pt>
                <c:pt idx="189">
                  <c:v>-2.4270462249067912</c:v>
                </c:pt>
                <c:pt idx="190">
                  <c:v>-2.6747606407085232</c:v>
                </c:pt>
                <c:pt idx="191">
                  <c:v>-2.9157887039303518</c:v>
                </c:pt>
                <c:pt idx="192">
                  <c:v>-3.1495831774968654</c:v>
                </c:pt>
                <c:pt idx="193">
                  <c:v>-3.3756299419643634</c:v>
                </c:pt>
                <c:pt idx="194">
                  <c:v>-3.5934503099074222</c:v>
                </c:pt>
                <c:pt idx="195">
                  <c:v>-3.8026031683890436</c:v>
                </c:pt>
                <c:pt idx="196">
                  <c:v>-4.0026869391343256</c:v>
                </c:pt>
                <c:pt idx="197">
                  <c:v>-4.193341346915469</c:v>
                </c:pt>
                <c:pt idx="198">
                  <c:v>-4.3742489875898851</c:v>
                </c:pt>
                <c:pt idx="199">
                  <c:v>-4.5451366882092472</c:v>
                </c:pt>
                <c:pt idx="200">
                  <c:v>-4.7057766526297655</c:v>
                </c:pt>
                <c:pt idx="201">
                  <c:v>-4.8559873870989501</c:v>
                </c:pt>
                <c:pt idx="202">
                  <c:v>-4.9956344013654874</c:v>
                </c:pt>
                <c:pt idx="203">
                  <c:v>-5.1246306819523797</c:v>
                </c:pt>
                <c:pt idx="204">
                  <c:v>-5.2429369353429482</c:v>
                </c:pt>
                <c:pt idx="205">
                  <c:v>-5.3505615999500105</c:v>
                </c:pt>
                <c:pt idx="206">
                  <c:v>-5.4475606268646128</c:v>
                </c:pt>
                <c:pt idx="207">
                  <c:v>-5.5340370305066813</c:v>
                </c:pt>
                <c:pt idx="208">
                  <c:v>-5.6101402114207009</c:v>
                </c:pt>
                <c:pt idx="209">
                  <c:v>-5.6760650545690297</c:v>
                </c:pt>
                <c:pt idx="210">
                  <c:v>-5.7320508075688776</c:v>
                </c:pt>
                <c:pt idx="211">
                  <c:v>-5.7783797443905165</c:v>
                </c:pt>
                <c:pt idx="212">
                  <c:v>-5.8153756210790837</c:v>
                </c:pt>
                <c:pt idx="213">
                  <c:v>-5.8434019310750056</c:v>
                </c:pt>
                <c:pt idx="214">
                  <c:v>-5.8628599686839689</c:v>
                </c:pt>
                <c:pt idx="215">
                  <c:v>-5.8741867101814478</c:v>
                </c:pt>
                <c:pt idx="216">
                  <c:v>-5.8778525229247318</c:v>
                </c:pt>
                <c:pt idx="217">
                  <c:v>-5.8743587136827964</c:v>
                </c:pt>
                <c:pt idx="218">
                  <c:v>-5.8642349281770478</c:v>
                </c:pt>
                <c:pt idx="219">
                  <c:v>-5.8480364145503003</c:v>
                </c:pt>
                <c:pt idx="220">
                  <c:v>-5.8263411641436518</c:v>
                </c:pt>
                <c:pt idx="221">
                  <c:v>-5.7997469435580564</c:v>
                </c:pt>
                <c:pt idx="222">
                  <c:v>-5.7688682325063843</c:v>
                </c:pt>
                <c:pt idx="223">
                  <c:v>-5.7343330824201191</c:v>
                </c:pt>
                <c:pt idx="224">
                  <c:v>-5.6967799111602293</c:v>
                </c:pt>
                <c:pt idx="225">
                  <c:v>-5.6568542494923806</c:v>
                </c:pt>
                <c:pt idx="226">
                  <c:v>-5.6152054552209583</c:v>
                </c:pt>
                <c:pt idx="227">
                  <c:v>-5.5724834110332333</c:v>
                </c:pt>
                <c:pt idx="228">
                  <c:v>-5.5293352221836347</c:v>
                </c:pt>
                <c:pt idx="229">
                  <c:v>-5.4864019301481779</c:v>
                </c:pt>
                <c:pt idx="230">
                  <c:v>-5.4443152583004881</c:v>
                </c:pt>
                <c:pt idx="231">
                  <c:v>-5.4036944055041678</c:v>
                </c:pt>
                <c:pt idx="232">
                  <c:v>-5.3651429032819937</c:v>
                </c:pt>
                <c:pt idx="233">
                  <c:v>-5.3292455519119324</c:v>
                </c:pt>
                <c:pt idx="234">
                  <c:v>-5.2965654504146338</c:v>
                </c:pt>
                <c:pt idx="235">
                  <c:v>-5.2676411349388559</c:v>
                </c:pt>
                <c:pt idx="236">
                  <c:v>-5.2429838395223385</c:v>
                </c:pt>
                <c:pt idx="237">
                  <c:v>-5.2230748926086035</c:v>
                </c:pt>
                <c:pt idx="238">
                  <c:v>-5.2083632620379641</c:v>
                </c:pt>
                <c:pt idx="239">
                  <c:v>-5.1992632605068145</c:v>
                </c:pt>
                <c:pt idx="240">
                  <c:v>-5.196152422706632</c:v>
                </c:pt>
                <c:pt idx="241">
                  <c:v>-5.1993695645168332</c:v>
                </c:pt>
                <c:pt idx="242">
                  <c:v>-5.2092130337378411</c:v>
                </c:pt>
                <c:pt idx="243">
                  <c:v>-5.225939160916635</c:v>
                </c:pt>
                <c:pt idx="244">
                  <c:v>-5.2497609178413427</c:v>
                </c:pt>
                <c:pt idx="245">
                  <c:v>-5.2808467902687841</c:v>
                </c:pt>
                <c:pt idx="246">
                  <c:v>-5.3193198704042608</c:v>
                </c:pt>
                <c:pt idx="247">
                  <c:v>-5.3652571735813304</c:v>
                </c:pt>
                <c:pt idx="248">
                  <c:v>-5.4186891824961068</c:v>
                </c:pt>
                <c:pt idx="249">
                  <c:v>-5.479599621241066</c:v>
                </c:pt>
                <c:pt idx="250">
                  <c:v>-5.5479254602628512</c:v>
                </c:pt>
                <c:pt idx="251">
                  <c:v>-5.623557152242542</c:v>
                </c:pt>
                <c:pt idx="252">
                  <c:v>-5.706339097770921</c:v>
                </c:pt>
                <c:pt idx="253">
                  <c:v>-5.7960703385707069</c:v>
                </c:pt>
                <c:pt idx="254">
                  <c:v>-5.8925054749082193</c:v>
                </c:pt>
                <c:pt idx="255">
                  <c:v>-5.9953558027436697</c:v>
                </c:pt>
                <c:pt idx="256">
                  <c:v>-6.1042906650978885</c:v>
                </c:pt>
                <c:pt idx="257">
                  <c:v>-6.2189390110684357</c:v>
                </c:pt>
                <c:pt idx="258">
                  <c:v>-6.3388911549156539</c:v>
                </c:pt>
                <c:pt idx="259">
                  <c:v>-6.4637007266633182</c:v>
                </c:pt>
                <c:pt idx="260">
                  <c:v>-6.5928868047245857</c:v>
                </c:pt>
                <c:pt idx="261">
                  <c:v>-6.7259362201761537</c:v>
                </c:pt>
                <c:pt idx="262">
                  <c:v>-6.86230602146615</c:v>
                </c:pt>
                <c:pt idx="263">
                  <c:v>-7.0014260875587979</c:v>
                </c:pt>
                <c:pt idx="264">
                  <c:v>-7.1427018767945878</c:v>
                </c:pt>
                <c:pt idx="265">
                  <c:v>-7.2855172980826266</c:v>
                </c:pt>
                <c:pt idx="266">
                  <c:v>-7.4292376904445927</c:v>
                </c:pt>
                <c:pt idx="267">
                  <c:v>-7.5732128964010679</c:v>
                </c:pt>
                <c:pt idx="268">
                  <c:v>-7.7167804142326366</c:v>
                </c:pt>
                <c:pt idx="269">
                  <c:v>-7.8592686137628798</c:v>
                </c:pt>
                <c:pt idx="270">
                  <c:v>-7.9999999999999982</c:v>
                </c:pt>
                <c:pt idx="271">
                  <c:v>-8.1382945087393779</c:v>
                </c:pt>
                <c:pt idx="272">
                  <c:v>-8.2734728180729</c:v>
                </c:pt>
                <c:pt idx="273">
                  <c:v>-8.4048596596721108</c:v>
                </c:pt>
                <c:pt idx="274">
                  <c:v>-8.5317871137125927</c:v>
                </c:pt>
                <c:pt idx="275">
                  <c:v>-8.6535978713852995</c:v>
                </c:pt>
                <c:pt idx="276">
                  <c:v>-8.7696484490977848</c:v>
                </c:pt>
                <c:pt idx="277">
                  <c:v>-8.8793123387023591</c:v>
                </c:pt>
                <c:pt idx="278">
                  <c:v>-8.9819830783989723</c:v>
                </c:pt>
                <c:pt idx="279">
                  <c:v>-9.0770772293460471</c:v>
                </c:pt>
                <c:pt idx="280">
                  <c:v>-9.1640372434707409</c:v>
                </c:pt>
                <c:pt idx="281">
                  <c:v>-9.2423342084993081</c:v>
                </c:pt>
                <c:pt idx="282">
                  <c:v>-9.3114704568252336</c:v>
                </c:pt>
                <c:pt idx="283">
                  <c:v>-9.3709820254953247</c:v>
                </c:pt>
                <c:pt idx="284">
                  <c:v>-9.420440955318055</c:v>
                </c:pt>
                <c:pt idx="285">
                  <c:v>-9.4594574178814224</c:v>
                </c:pt>
                <c:pt idx="286">
                  <c:v>-9.4876816601048848</c:v>
                </c:pt>
                <c:pt idx="287">
                  <c:v>-9.5048057568378574</c:v>
                </c:pt>
                <c:pt idx="288">
                  <c:v>-9.5105651629515364</c:v>
                </c:pt>
                <c:pt idx="289">
                  <c:v>-9.5047400573465275</c:v>
                </c:pt>
                <c:pt idx="290">
                  <c:v>-9.4871564723116837</c:v>
                </c:pt>
                <c:pt idx="291">
                  <c:v>-9.4576872027141601</c:v>
                </c:pt>
                <c:pt idx="292">
                  <c:v>-9.4162524905724911</c:v>
                </c:pt>
                <c:pt idx="293">
                  <c:v>-9.3628204816577156</c:v>
                </c:pt>
                <c:pt idx="294">
                  <c:v>-9.2974074518773548</c:v>
                </c:pt>
                <c:pt idx="295">
                  <c:v>-9.2200778023176149</c:v>
                </c:pt>
                <c:pt idx="296">
                  <c:v>-9.1309438229453299</c:v>
                </c:pt>
                <c:pt idx="297">
                  <c:v>-9.0301652260972514</c:v>
                </c:pt>
                <c:pt idx="298">
                  <c:v>-8.9179484520049925</c:v>
                </c:pt>
                <c:pt idx="299">
                  <c:v>-8.7945457497134978</c:v>
                </c:pt>
                <c:pt idx="300">
                  <c:v>-8.6602540378443855</c:v>
                </c:pt>
                <c:pt idx="301">
                  <c:v>-8.5154135507269828</c:v>
                </c:pt>
                <c:pt idx="302">
                  <c:v>-8.3604062764648539</c:v>
                </c:pt>
                <c:pt idx="303">
                  <c:v>-8.1956541945181858</c:v>
                </c:pt>
                <c:pt idx="304">
                  <c:v>-8.0216173213583257</c:v>
                </c:pt>
                <c:pt idx="305">
                  <c:v>-7.8387915736850129</c:v>
                </c:pt>
                <c:pt idx="306">
                  <c:v>-7.6477064595845281</c:v>
                </c:pt>
                <c:pt idx="307">
                  <c:v>-7.4489226088447573</c:v>
                </c:pt>
                <c:pt idx="308">
                  <c:v>-7.2430291544255541</c:v>
                </c:pt>
                <c:pt idx="309">
                  <c:v>-7.0306409778073657</c:v>
                </c:pt>
                <c:pt idx="310">
                  <c:v>-6.8123958316031636</c:v>
                </c:pt>
                <c:pt idx="311">
                  <c:v>-6.5889513534161788</c:v>
                </c:pt>
                <c:pt idx="312">
                  <c:v>-6.3609819854546794</c:v>
                </c:pt>
                <c:pt idx="313">
                  <c:v>-6.1291758148734923</c:v>
                </c:pt>
                <c:pt idx="314">
                  <c:v>-5.8942313501974599</c:v>
                </c:pt>
                <c:pt idx="315">
                  <c:v>-5.6568542494923832</c:v>
                </c:pt>
                <c:pt idx="316">
                  <c:v>-5.417754016183733</c:v>
                </c:pt>
                <c:pt idx="317">
                  <c:v>-5.177640678579853</c:v>
                </c:pt>
                <c:pt idx="318">
                  <c:v>-4.9372214692353458</c:v>
                </c:pt>
                <c:pt idx="319">
                  <c:v>-4.6971975202900618</c:v>
                </c:pt>
                <c:pt idx="320">
                  <c:v>-4.4582605908409816</c:v>
                </c:pt>
                <c:pt idx="321">
                  <c:v>-4.2210898422471059</c:v>
                </c:pt>
                <c:pt idx="322">
                  <c:v>-3.9863486770334826</c:v>
                </c:pt>
                <c:pt idx="323">
                  <c:v>-3.7546816567499763</c:v>
                </c:pt>
                <c:pt idx="324">
                  <c:v>-3.5267115137548419</c:v>
                </c:pt>
                <c:pt idx="325">
                  <c:v>-3.3030362714352961</c:v>
                </c:pt>
                <c:pt idx="326">
                  <c:v>-3.0842264868479763</c:v>
                </c:pt>
                <c:pt idx="327">
                  <c:v>-2.8708226291654269</c:v>
                </c:pt>
                <c:pt idx="328">
                  <c:v>-2.6633326066521965</c:v>
                </c:pt>
                <c:pt idx="329">
                  <c:v>-2.462229454170354</c:v>
                </c:pt>
                <c:pt idx="330">
                  <c:v>-2.2679491924311286</c:v>
                </c:pt>
                <c:pt idx="331">
                  <c:v>-2.0808888693723606</c:v>
                </c:pt>
                <c:pt idx="332">
                  <c:v>-1.9014047931535518</c:v>
                </c:pt>
                <c:pt idx="333">
                  <c:v>-1.7298109653260691</c:v>
                </c:pt>
                <c:pt idx="334">
                  <c:v>-1.5663777217606303</c:v>
                </c:pt>
                <c:pt idx="335">
                  <c:v>-1.4113305879011773</c:v>
                </c:pt>
                <c:pt idx="336">
                  <c:v>-1.2648493538698544</c:v>
                </c:pt>
                <c:pt idx="337">
                  <c:v>-1.1270673738759995</c:v>
                </c:pt>
                <c:pt idx="338">
                  <c:v>-0.99807109328910726</c:v>
                </c:pt>
                <c:pt idx="339">
                  <c:v>-0.87789980562585912</c:v>
                </c:pt>
                <c:pt idx="340">
                  <c:v>-0.766545640580933</c:v>
                </c:pt>
                <c:pt idx="341">
                  <c:v>-0.66395378310526065</c:v>
                </c:pt>
                <c:pt idx="342">
                  <c:v>-0.57002292240927321</c:v>
                </c:pt>
                <c:pt idx="343">
                  <c:v>-0.48460592864832108</c:v>
                </c:pt>
                <c:pt idx="344">
                  <c:v>-0.40751075393765834</c:v>
                </c:pt>
                <c:pt idx="345">
                  <c:v>-0.3385015532512885</c:v>
                </c:pt>
                <c:pt idx="346">
                  <c:v>-0.27730001968725904</c:v>
                </c:pt>
                <c:pt idx="347">
                  <c:v>-0.22358692753747711</c:v>
                </c:pt>
                <c:pt idx="348">
                  <c:v>-0.17700387558728758</c:v>
                </c:pt>
                <c:pt idx="349">
                  <c:v>-0.1371552220943637</c:v>
                </c:pt>
                <c:pt idx="350">
                  <c:v>-0.10361020196236415</c:v>
                </c:pt>
                <c:pt idx="351">
                  <c:v>-7.5905215736901122E-2</c:v>
                </c:pt>
                <c:pt idx="352">
                  <c:v>-5.3546279214114145E-2</c:v>
                </c:pt>
                <c:pt idx="353">
                  <c:v>-3.6011621669398086E-2</c:v>
                </c:pt>
                <c:pt idx="354">
                  <c:v>-2.275441998962735E-2</c:v>
                </c:pt>
                <c:pt idx="355">
                  <c:v>-1.3205655329928012E-2</c:v>
                </c:pt>
                <c:pt idx="356">
                  <c:v>-6.7770783190040929E-3</c:v>
                </c:pt>
                <c:pt idx="357">
                  <c:v>-2.8642683080320475E-3</c:v>
                </c:pt>
                <c:pt idx="358">
                  <c:v>-8.4977169987687784E-4</c:v>
                </c:pt>
                <c:pt idx="359">
                  <c:v>-1.063040100175161E-4</c:v>
                </c:pt>
                <c:pt idx="3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5A-4907-A160-630385781CD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'에피,하이포'!$I$2:$I$362</c:f>
              <c:numCache>
                <c:formatCode>General</c:formatCode>
                <c:ptCount val="361"/>
                <c:pt idx="0">
                  <c:v>10</c:v>
                </c:pt>
                <c:pt idx="1">
                  <c:v>9.9984769515639123</c:v>
                </c:pt>
                <c:pt idx="2">
                  <c:v>9.993908270190957</c:v>
                </c:pt>
                <c:pt idx="3">
                  <c:v>9.9862953475457381</c:v>
                </c:pt>
                <c:pt idx="4">
                  <c:v>9.9756405025982424</c:v>
                </c:pt>
                <c:pt idx="5">
                  <c:v>9.961946980917455</c:v>
                </c:pt>
                <c:pt idx="6">
                  <c:v>9.9452189536827333</c:v>
                </c:pt>
                <c:pt idx="7">
                  <c:v>9.9254615164132201</c:v>
                </c:pt>
                <c:pt idx="8">
                  <c:v>9.9026806874157032</c:v>
                </c:pt>
                <c:pt idx="9">
                  <c:v>9.8768834059513786</c:v>
                </c:pt>
                <c:pt idx="10">
                  <c:v>9.8480775301220795</c:v>
                </c:pt>
                <c:pt idx="11">
                  <c:v>9.8162718344766393</c:v>
                </c:pt>
                <c:pt idx="12">
                  <c:v>9.7814760073380569</c:v>
                </c:pt>
                <c:pt idx="13">
                  <c:v>9.7437006478523518</c:v>
                </c:pt>
                <c:pt idx="14">
                  <c:v>9.7029572627599645</c:v>
                </c:pt>
                <c:pt idx="15">
                  <c:v>9.6592582628906829</c:v>
                </c:pt>
                <c:pt idx="16">
                  <c:v>9.6126169593831889</c:v>
                </c:pt>
                <c:pt idx="17">
                  <c:v>9.5630475596303537</c:v>
                </c:pt>
                <c:pt idx="18">
                  <c:v>9.5105651629515346</c:v>
                </c:pt>
                <c:pt idx="19">
                  <c:v>9.4551857559931687</c:v>
                </c:pt>
                <c:pt idx="20">
                  <c:v>9.3969262078590852</c:v>
                </c:pt>
                <c:pt idx="21">
                  <c:v>9.3358042649720172</c:v>
                </c:pt>
                <c:pt idx="22">
                  <c:v>9.2718385456678742</c:v>
                </c:pt>
                <c:pt idx="23">
                  <c:v>9.2050485345244031</c:v>
                </c:pt>
                <c:pt idx="24">
                  <c:v>9.1354545764260084</c:v>
                </c:pt>
                <c:pt idx="25">
                  <c:v>9.0630778703664987</c:v>
                </c:pt>
                <c:pt idx="26">
                  <c:v>8.9879404629916699</c:v>
                </c:pt>
                <c:pt idx="27">
                  <c:v>8.9100652418836788</c:v>
                </c:pt>
                <c:pt idx="28">
                  <c:v>8.8294759285892699</c:v>
                </c:pt>
                <c:pt idx="29">
                  <c:v>8.7461970713939579</c:v>
                </c:pt>
                <c:pt idx="30">
                  <c:v>8.6602540378443873</c:v>
                </c:pt>
                <c:pt idx="31">
                  <c:v>8.5716730070211238</c:v>
                </c:pt>
                <c:pt idx="32">
                  <c:v>8.4804809615642593</c:v>
                </c:pt>
                <c:pt idx="33">
                  <c:v>8.3867056794542414</c:v>
                </c:pt>
                <c:pt idx="34">
                  <c:v>8.2903757255504154</c:v>
                </c:pt>
                <c:pt idx="35">
                  <c:v>8.1915204428899173</c:v>
                </c:pt>
                <c:pt idx="36">
                  <c:v>8.0901699437494745</c:v>
                </c:pt>
                <c:pt idx="37">
                  <c:v>7.9863551004729283</c:v>
                </c:pt>
                <c:pt idx="38">
                  <c:v>7.8801075360672188</c:v>
                </c:pt>
                <c:pt idx="39">
                  <c:v>7.771459614569709</c:v>
                </c:pt>
                <c:pt idx="40">
                  <c:v>7.6604444311897799</c:v>
                </c:pt>
                <c:pt idx="41">
                  <c:v>7.5470958022277204</c:v>
                </c:pt>
                <c:pt idx="42">
                  <c:v>7.431448254773942</c:v>
                </c:pt>
                <c:pt idx="43">
                  <c:v>7.3135370161917042</c:v>
                </c:pt>
                <c:pt idx="44">
                  <c:v>7.1933980033865117</c:v>
                </c:pt>
                <c:pt idx="45">
                  <c:v>7.0710678118654755</c:v>
                </c:pt>
                <c:pt idx="46">
                  <c:v>6.9465837045899725</c:v>
                </c:pt>
                <c:pt idx="47">
                  <c:v>6.819983600624985</c:v>
                </c:pt>
                <c:pt idx="48">
                  <c:v>6.6913060635885824</c:v>
                </c:pt>
                <c:pt idx="49">
                  <c:v>6.5605902899050728</c:v>
                </c:pt>
                <c:pt idx="50">
                  <c:v>6.4278760968653934</c:v>
                </c:pt>
                <c:pt idx="51">
                  <c:v>6.2932039104983755</c:v>
                </c:pt>
                <c:pt idx="52">
                  <c:v>6.1566147532565827</c:v>
                </c:pt>
                <c:pt idx="53">
                  <c:v>6.018150231520484</c:v>
                </c:pt>
                <c:pt idx="54">
                  <c:v>5.8778525229247318</c:v>
                </c:pt>
                <c:pt idx="55">
                  <c:v>5.7357643635104614</c:v>
                </c:pt>
                <c:pt idx="56">
                  <c:v>5.5919290347074675</c:v>
                </c:pt>
                <c:pt idx="57">
                  <c:v>5.4463903501502706</c:v>
                </c:pt>
                <c:pt idx="58">
                  <c:v>5.2991926423320486</c:v>
                </c:pt>
                <c:pt idx="59">
                  <c:v>5.1503807491005418</c:v>
                </c:pt>
                <c:pt idx="60">
                  <c:v>5.0000000000000009</c:v>
                </c:pt>
                <c:pt idx="61">
                  <c:v>4.8480962024633714</c:v>
                </c:pt>
                <c:pt idx="62">
                  <c:v>4.6947156278589084</c:v>
                </c:pt>
                <c:pt idx="63">
                  <c:v>4.5399049973954684</c:v>
                </c:pt>
                <c:pt idx="64">
                  <c:v>4.3837114678907749</c:v>
                </c:pt>
                <c:pt idx="65">
                  <c:v>4.2261826174069945</c:v>
                </c:pt>
                <c:pt idx="66">
                  <c:v>4.0673664307580024</c:v>
                </c:pt>
                <c:pt idx="67">
                  <c:v>3.9073112848927369</c:v>
                </c:pt>
                <c:pt idx="68">
                  <c:v>3.7460659341591196</c:v>
                </c:pt>
                <c:pt idx="69">
                  <c:v>3.583679495453004</c:v>
                </c:pt>
                <c:pt idx="70">
                  <c:v>3.4202014332566884</c:v>
                </c:pt>
                <c:pt idx="71">
                  <c:v>3.2556815445715674</c:v>
                </c:pt>
                <c:pt idx="72">
                  <c:v>3.0901699437494745</c:v>
                </c:pt>
                <c:pt idx="73">
                  <c:v>2.9237170472273677</c:v>
                </c:pt>
                <c:pt idx="74">
                  <c:v>2.7563735581699915</c:v>
                </c:pt>
                <c:pt idx="75">
                  <c:v>2.5881904510252074</c:v>
                </c:pt>
                <c:pt idx="76">
                  <c:v>2.4192189559966768</c:v>
                </c:pt>
                <c:pt idx="77">
                  <c:v>2.2495105434386491</c:v>
                </c:pt>
                <c:pt idx="78">
                  <c:v>2.0791169081775944</c:v>
                </c:pt>
                <c:pt idx="79">
                  <c:v>1.9080899537654492</c:v>
                </c:pt>
                <c:pt idx="80">
                  <c:v>1.7364817766693041</c:v>
                </c:pt>
                <c:pt idx="81">
                  <c:v>1.5643446504023093</c:v>
                </c:pt>
                <c:pt idx="82">
                  <c:v>1.3917310096006545</c:v>
                </c:pt>
                <c:pt idx="83">
                  <c:v>1.2186934340514748</c:v>
                </c:pt>
                <c:pt idx="84">
                  <c:v>1.0452846326765346</c:v>
                </c:pt>
                <c:pt idx="85">
                  <c:v>0.87155742747658138</c:v>
                </c:pt>
                <c:pt idx="86">
                  <c:v>0.69756473744125236</c:v>
                </c:pt>
                <c:pt idx="87">
                  <c:v>0.52335956242943971</c:v>
                </c:pt>
                <c:pt idx="88">
                  <c:v>0.34899496702501082</c:v>
                </c:pt>
                <c:pt idx="89">
                  <c:v>0.17452406437283599</c:v>
                </c:pt>
                <c:pt idx="90">
                  <c:v>6.1257422745431001E-16</c:v>
                </c:pt>
                <c:pt idx="91">
                  <c:v>-0.17452406437283477</c:v>
                </c:pt>
                <c:pt idx="92">
                  <c:v>-0.34899496702500954</c:v>
                </c:pt>
                <c:pt idx="93">
                  <c:v>-0.52335956242943837</c:v>
                </c:pt>
                <c:pt idx="94">
                  <c:v>-0.69756473744125325</c:v>
                </c:pt>
                <c:pt idx="95">
                  <c:v>-0.87155742747658238</c:v>
                </c:pt>
                <c:pt idx="96">
                  <c:v>-1.0452846326765355</c:v>
                </c:pt>
                <c:pt idx="97">
                  <c:v>-1.2186934340514737</c:v>
                </c:pt>
                <c:pt idx="98">
                  <c:v>-1.3917310096006537</c:v>
                </c:pt>
                <c:pt idx="99">
                  <c:v>-1.5643446504023082</c:v>
                </c:pt>
                <c:pt idx="100">
                  <c:v>-1.736481776669303</c:v>
                </c:pt>
                <c:pt idx="101">
                  <c:v>-1.9080899537654481</c:v>
                </c:pt>
                <c:pt idx="102">
                  <c:v>-2.0791169081775935</c:v>
                </c:pt>
                <c:pt idx="103">
                  <c:v>-2.2495105434386504</c:v>
                </c:pt>
                <c:pt idx="104">
                  <c:v>-2.4192189559966777</c:v>
                </c:pt>
                <c:pt idx="105">
                  <c:v>-2.5881904510252083</c:v>
                </c:pt>
                <c:pt idx="106">
                  <c:v>-2.7563735581699906</c:v>
                </c:pt>
                <c:pt idx="107">
                  <c:v>-2.9237170472273668</c:v>
                </c:pt>
                <c:pt idx="108">
                  <c:v>-3.0901699437494736</c:v>
                </c:pt>
                <c:pt idx="109">
                  <c:v>-3.2556815445715666</c:v>
                </c:pt>
                <c:pt idx="110">
                  <c:v>-3.420201433256687</c:v>
                </c:pt>
                <c:pt idx="111">
                  <c:v>-3.5836794954530027</c:v>
                </c:pt>
                <c:pt idx="112">
                  <c:v>-3.7460659341591205</c:v>
                </c:pt>
                <c:pt idx="113">
                  <c:v>-3.9073112848927378</c:v>
                </c:pt>
                <c:pt idx="114">
                  <c:v>-4.0673664307580024</c:v>
                </c:pt>
                <c:pt idx="115">
                  <c:v>-4.2261826174069936</c:v>
                </c:pt>
                <c:pt idx="116">
                  <c:v>-4.3837114678907749</c:v>
                </c:pt>
                <c:pt idx="117">
                  <c:v>-4.5399049973954666</c:v>
                </c:pt>
                <c:pt idx="118">
                  <c:v>-4.6947156278589093</c:v>
                </c:pt>
                <c:pt idx="119">
                  <c:v>-4.8480962024633705</c:v>
                </c:pt>
                <c:pt idx="120">
                  <c:v>-4.9999999999999982</c:v>
                </c:pt>
                <c:pt idx="121">
                  <c:v>-5.1503807491005427</c:v>
                </c:pt>
                <c:pt idx="122">
                  <c:v>-5.2991926423320477</c:v>
                </c:pt>
                <c:pt idx="123">
                  <c:v>-5.4463903501502706</c:v>
                </c:pt>
                <c:pt idx="124">
                  <c:v>-5.5919290347074666</c:v>
                </c:pt>
                <c:pt idx="125">
                  <c:v>-5.7357643635104614</c:v>
                </c:pt>
                <c:pt idx="126">
                  <c:v>-5.87785252292473</c:v>
                </c:pt>
                <c:pt idx="127">
                  <c:v>-6.018150231520484</c:v>
                </c:pt>
                <c:pt idx="128">
                  <c:v>-6.1566147532565827</c:v>
                </c:pt>
                <c:pt idx="129">
                  <c:v>-6.2932039104983728</c:v>
                </c:pt>
                <c:pt idx="130">
                  <c:v>-6.4278760968653934</c:v>
                </c:pt>
                <c:pt idx="131">
                  <c:v>-6.5605902899050719</c:v>
                </c:pt>
                <c:pt idx="132">
                  <c:v>-6.6913060635885824</c:v>
                </c:pt>
                <c:pt idx="133">
                  <c:v>-6.8199836006249832</c:v>
                </c:pt>
                <c:pt idx="134">
                  <c:v>-6.9465837045899734</c:v>
                </c:pt>
                <c:pt idx="135">
                  <c:v>-7.0710678118654746</c:v>
                </c:pt>
                <c:pt idx="136">
                  <c:v>-7.1933980033865117</c:v>
                </c:pt>
                <c:pt idx="137">
                  <c:v>-7.3135370161917042</c:v>
                </c:pt>
                <c:pt idx="138">
                  <c:v>-7.4314482547739402</c:v>
                </c:pt>
                <c:pt idx="139">
                  <c:v>-7.5470958022277204</c:v>
                </c:pt>
                <c:pt idx="140">
                  <c:v>-7.660444431189779</c:v>
                </c:pt>
                <c:pt idx="141">
                  <c:v>-7.771459614569709</c:v>
                </c:pt>
                <c:pt idx="142">
                  <c:v>-7.8801075360672188</c:v>
                </c:pt>
                <c:pt idx="143">
                  <c:v>-7.9863551004729292</c:v>
                </c:pt>
                <c:pt idx="144">
                  <c:v>-8.0901699437494727</c:v>
                </c:pt>
                <c:pt idx="145">
                  <c:v>-8.1915204428899191</c:v>
                </c:pt>
                <c:pt idx="146">
                  <c:v>-8.2903757255504154</c:v>
                </c:pt>
                <c:pt idx="147">
                  <c:v>-8.3867056794542396</c:v>
                </c:pt>
                <c:pt idx="148">
                  <c:v>-8.4804809615642593</c:v>
                </c:pt>
                <c:pt idx="149">
                  <c:v>-8.571673007021122</c:v>
                </c:pt>
                <c:pt idx="150">
                  <c:v>-8.6602540378443873</c:v>
                </c:pt>
                <c:pt idx="151">
                  <c:v>-8.7461970713939579</c:v>
                </c:pt>
                <c:pt idx="152">
                  <c:v>-8.8294759285892699</c:v>
                </c:pt>
                <c:pt idx="153">
                  <c:v>-8.9100652418836788</c:v>
                </c:pt>
                <c:pt idx="154">
                  <c:v>-8.9879404629916699</c:v>
                </c:pt>
                <c:pt idx="155">
                  <c:v>-9.0630778703664987</c:v>
                </c:pt>
                <c:pt idx="156">
                  <c:v>-9.1354545764260067</c:v>
                </c:pt>
                <c:pt idx="157">
                  <c:v>-9.2050485345244031</c:v>
                </c:pt>
                <c:pt idx="158">
                  <c:v>-9.2718385456678725</c:v>
                </c:pt>
                <c:pt idx="159">
                  <c:v>-9.3358042649720172</c:v>
                </c:pt>
                <c:pt idx="160">
                  <c:v>-9.3969262078590834</c:v>
                </c:pt>
                <c:pt idx="161">
                  <c:v>-9.4551857559931687</c:v>
                </c:pt>
                <c:pt idx="162">
                  <c:v>-9.5105651629515346</c:v>
                </c:pt>
                <c:pt idx="163">
                  <c:v>-9.5630475596303555</c:v>
                </c:pt>
                <c:pt idx="164">
                  <c:v>-9.6126169593831889</c:v>
                </c:pt>
                <c:pt idx="165">
                  <c:v>-9.6592582628906811</c:v>
                </c:pt>
                <c:pt idx="166">
                  <c:v>-9.7029572627599645</c:v>
                </c:pt>
                <c:pt idx="167">
                  <c:v>-9.7437006478523518</c:v>
                </c:pt>
                <c:pt idx="168">
                  <c:v>-9.7814760073380569</c:v>
                </c:pt>
                <c:pt idx="169">
                  <c:v>-9.8162718344766393</c:v>
                </c:pt>
                <c:pt idx="170">
                  <c:v>-9.8480775301220795</c:v>
                </c:pt>
                <c:pt idx="171">
                  <c:v>-9.8768834059513768</c:v>
                </c:pt>
                <c:pt idx="172">
                  <c:v>-9.9026806874157032</c:v>
                </c:pt>
                <c:pt idx="173">
                  <c:v>-9.9254615164132201</c:v>
                </c:pt>
                <c:pt idx="174">
                  <c:v>-9.9452189536827333</c:v>
                </c:pt>
                <c:pt idx="175">
                  <c:v>-9.961946980917455</c:v>
                </c:pt>
                <c:pt idx="176">
                  <c:v>-9.9756405025982424</c:v>
                </c:pt>
                <c:pt idx="177">
                  <c:v>-9.9862953475457381</c:v>
                </c:pt>
                <c:pt idx="178">
                  <c:v>-9.993908270190957</c:v>
                </c:pt>
                <c:pt idx="179">
                  <c:v>-9.9984769515639123</c:v>
                </c:pt>
                <c:pt idx="180">
                  <c:v>-10</c:v>
                </c:pt>
                <c:pt idx="181">
                  <c:v>-9.9984769515639123</c:v>
                </c:pt>
                <c:pt idx="182">
                  <c:v>-9.993908270190957</c:v>
                </c:pt>
                <c:pt idx="183">
                  <c:v>-9.9862953475457381</c:v>
                </c:pt>
                <c:pt idx="184">
                  <c:v>-9.9756405025982424</c:v>
                </c:pt>
                <c:pt idx="185">
                  <c:v>-9.961946980917455</c:v>
                </c:pt>
                <c:pt idx="186">
                  <c:v>-9.9452189536827333</c:v>
                </c:pt>
                <c:pt idx="187">
                  <c:v>-9.9254615164132218</c:v>
                </c:pt>
                <c:pt idx="188">
                  <c:v>-9.9026806874157032</c:v>
                </c:pt>
                <c:pt idx="189">
                  <c:v>-9.8768834059513786</c:v>
                </c:pt>
                <c:pt idx="190">
                  <c:v>-9.8480775301220795</c:v>
                </c:pt>
                <c:pt idx="191">
                  <c:v>-9.8162718344766393</c:v>
                </c:pt>
                <c:pt idx="192">
                  <c:v>-9.7814760073380551</c:v>
                </c:pt>
                <c:pt idx="193">
                  <c:v>-9.7437006478523518</c:v>
                </c:pt>
                <c:pt idx="194">
                  <c:v>-9.7029572627599645</c:v>
                </c:pt>
                <c:pt idx="195">
                  <c:v>-9.6592582628906829</c:v>
                </c:pt>
                <c:pt idx="196">
                  <c:v>-9.6126169593831889</c:v>
                </c:pt>
                <c:pt idx="197">
                  <c:v>-9.5630475596303537</c:v>
                </c:pt>
                <c:pt idx="198">
                  <c:v>-9.5105651629515364</c:v>
                </c:pt>
                <c:pt idx="199">
                  <c:v>-9.4551857559931669</c:v>
                </c:pt>
                <c:pt idx="200">
                  <c:v>-9.3969262078590852</c:v>
                </c:pt>
                <c:pt idx="201">
                  <c:v>-9.3358042649720172</c:v>
                </c:pt>
                <c:pt idx="202">
                  <c:v>-9.2718385456678742</c:v>
                </c:pt>
                <c:pt idx="203">
                  <c:v>-9.2050485345244031</c:v>
                </c:pt>
                <c:pt idx="204">
                  <c:v>-9.1354545764260084</c:v>
                </c:pt>
                <c:pt idx="205">
                  <c:v>-9.0630778703665005</c:v>
                </c:pt>
                <c:pt idx="206">
                  <c:v>-8.9879404629916699</c:v>
                </c:pt>
                <c:pt idx="207">
                  <c:v>-8.9100652418836788</c:v>
                </c:pt>
                <c:pt idx="208">
                  <c:v>-8.8294759285892681</c:v>
                </c:pt>
                <c:pt idx="209">
                  <c:v>-8.7461970713939579</c:v>
                </c:pt>
                <c:pt idx="210">
                  <c:v>-8.6602540378443855</c:v>
                </c:pt>
                <c:pt idx="211">
                  <c:v>-8.5716730070211238</c:v>
                </c:pt>
                <c:pt idx="212">
                  <c:v>-8.4804809615642611</c:v>
                </c:pt>
                <c:pt idx="213">
                  <c:v>-8.3867056794542414</c:v>
                </c:pt>
                <c:pt idx="214">
                  <c:v>-8.2903757255504189</c:v>
                </c:pt>
                <c:pt idx="215">
                  <c:v>-8.1915204428899173</c:v>
                </c:pt>
                <c:pt idx="216">
                  <c:v>-8.0901699437494763</c:v>
                </c:pt>
                <c:pt idx="217">
                  <c:v>-7.9863551004729283</c:v>
                </c:pt>
                <c:pt idx="218">
                  <c:v>-7.8801075360672197</c:v>
                </c:pt>
                <c:pt idx="219">
                  <c:v>-7.7714596145697081</c:v>
                </c:pt>
                <c:pt idx="220">
                  <c:v>-7.6604444311897799</c:v>
                </c:pt>
                <c:pt idx="221">
                  <c:v>-7.5470958022277213</c:v>
                </c:pt>
                <c:pt idx="222">
                  <c:v>-7.431448254773942</c:v>
                </c:pt>
                <c:pt idx="223">
                  <c:v>-7.3135370161917059</c:v>
                </c:pt>
                <c:pt idx="224">
                  <c:v>-7.1933980033865108</c:v>
                </c:pt>
                <c:pt idx="225">
                  <c:v>-7.0710678118654773</c:v>
                </c:pt>
                <c:pt idx="226">
                  <c:v>-6.9465837045899725</c:v>
                </c:pt>
                <c:pt idx="227">
                  <c:v>-6.8199836006249859</c:v>
                </c:pt>
                <c:pt idx="228">
                  <c:v>-6.6913060635885815</c:v>
                </c:pt>
                <c:pt idx="229">
                  <c:v>-6.5605902899050728</c:v>
                </c:pt>
                <c:pt idx="230">
                  <c:v>-6.4278760968653952</c:v>
                </c:pt>
                <c:pt idx="231">
                  <c:v>-6.2932039104983781</c:v>
                </c:pt>
                <c:pt idx="232">
                  <c:v>-6.1566147532565809</c:v>
                </c:pt>
                <c:pt idx="233">
                  <c:v>-6.0181502315204831</c:v>
                </c:pt>
                <c:pt idx="234">
                  <c:v>-5.8778525229247327</c:v>
                </c:pt>
                <c:pt idx="235">
                  <c:v>-5.735764363510464</c:v>
                </c:pt>
                <c:pt idx="236">
                  <c:v>-5.5919290347074657</c:v>
                </c:pt>
                <c:pt idx="237">
                  <c:v>-5.4463903501502697</c:v>
                </c:pt>
                <c:pt idx="238">
                  <c:v>-5.2991926423320503</c:v>
                </c:pt>
                <c:pt idx="239">
                  <c:v>-5.1503807491005453</c:v>
                </c:pt>
                <c:pt idx="240">
                  <c:v>-5.0000000000000044</c:v>
                </c:pt>
                <c:pt idx="241">
                  <c:v>-4.8480962024633687</c:v>
                </c:pt>
                <c:pt idx="242">
                  <c:v>-4.6947156278589075</c:v>
                </c:pt>
                <c:pt idx="243">
                  <c:v>-4.5399049973954693</c:v>
                </c:pt>
                <c:pt idx="244">
                  <c:v>-4.3837114678907776</c:v>
                </c:pt>
                <c:pt idx="245">
                  <c:v>-4.2261826174069919</c:v>
                </c:pt>
                <c:pt idx="246">
                  <c:v>-4.0673664307580006</c:v>
                </c:pt>
                <c:pt idx="247">
                  <c:v>-3.9073112848927383</c:v>
                </c:pt>
                <c:pt idx="248">
                  <c:v>-3.7460659341591231</c:v>
                </c:pt>
                <c:pt idx="249">
                  <c:v>-3.5836794954530071</c:v>
                </c:pt>
                <c:pt idx="250">
                  <c:v>-3.4202014332566852</c:v>
                </c:pt>
                <c:pt idx="251">
                  <c:v>-3.2556815445715666</c:v>
                </c:pt>
                <c:pt idx="252">
                  <c:v>-3.0901699437494754</c:v>
                </c:pt>
                <c:pt idx="253">
                  <c:v>-2.9237170472273712</c:v>
                </c:pt>
                <c:pt idx="254">
                  <c:v>-2.7563735581699889</c:v>
                </c:pt>
                <c:pt idx="255">
                  <c:v>-2.5881904510252065</c:v>
                </c:pt>
                <c:pt idx="256">
                  <c:v>-2.4192189559966777</c:v>
                </c:pt>
                <c:pt idx="257">
                  <c:v>-2.2495105434386526</c:v>
                </c:pt>
                <c:pt idx="258">
                  <c:v>-2.079116908177598</c:v>
                </c:pt>
                <c:pt idx="259">
                  <c:v>-1.9080899537654461</c:v>
                </c:pt>
                <c:pt idx="260">
                  <c:v>-1.7364817766693033</c:v>
                </c:pt>
                <c:pt idx="261">
                  <c:v>-1.5643446504023104</c:v>
                </c:pt>
                <c:pt idx="262">
                  <c:v>-1.3917310096006583</c:v>
                </c:pt>
                <c:pt idx="263">
                  <c:v>-1.2186934340514717</c:v>
                </c:pt>
                <c:pt idx="264">
                  <c:v>-1.0452846326765335</c:v>
                </c:pt>
                <c:pt idx="265">
                  <c:v>-0.87155742747658249</c:v>
                </c:pt>
                <c:pt idx="266">
                  <c:v>-0.6975647374412558</c:v>
                </c:pt>
                <c:pt idx="267">
                  <c:v>-0.52335956242944304</c:v>
                </c:pt>
                <c:pt idx="268">
                  <c:v>-0.3489949670250076</c:v>
                </c:pt>
                <c:pt idx="269">
                  <c:v>-0.17452406437283496</c:v>
                </c:pt>
                <c:pt idx="270">
                  <c:v>-1.83772268236293E-15</c:v>
                </c:pt>
                <c:pt idx="271">
                  <c:v>0.1745240643728313</c:v>
                </c:pt>
                <c:pt idx="272">
                  <c:v>0.34899496702501281</c:v>
                </c:pt>
                <c:pt idx="273">
                  <c:v>0.52335956242943948</c:v>
                </c:pt>
                <c:pt idx="274">
                  <c:v>0.69756473744125214</c:v>
                </c:pt>
                <c:pt idx="275">
                  <c:v>0.87155742747657894</c:v>
                </c:pt>
                <c:pt idx="276">
                  <c:v>1.0452846326765299</c:v>
                </c:pt>
                <c:pt idx="277">
                  <c:v>1.2186934340514768</c:v>
                </c:pt>
                <c:pt idx="278">
                  <c:v>1.3917310096006545</c:v>
                </c:pt>
                <c:pt idx="279">
                  <c:v>1.5643446504023069</c:v>
                </c:pt>
                <c:pt idx="280">
                  <c:v>1.7364817766692997</c:v>
                </c:pt>
                <c:pt idx="281">
                  <c:v>1.908089953765451</c:v>
                </c:pt>
                <c:pt idx="282">
                  <c:v>2.0791169081775944</c:v>
                </c:pt>
                <c:pt idx="283">
                  <c:v>2.2495105434386491</c:v>
                </c:pt>
                <c:pt idx="284">
                  <c:v>2.4192189559966746</c:v>
                </c:pt>
                <c:pt idx="285">
                  <c:v>2.588190451025203</c:v>
                </c:pt>
                <c:pt idx="286">
                  <c:v>2.7563735581699937</c:v>
                </c:pt>
                <c:pt idx="287">
                  <c:v>2.9237170472273672</c:v>
                </c:pt>
                <c:pt idx="288">
                  <c:v>3.0901699437494723</c:v>
                </c:pt>
                <c:pt idx="289">
                  <c:v>3.255681544571563</c:v>
                </c:pt>
                <c:pt idx="290">
                  <c:v>3.4202014332566897</c:v>
                </c:pt>
                <c:pt idx="291">
                  <c:v>3.583679495453004</c:v>
                </c:pt>
                <c:pt idx="292">
                  <c:v>3.7460659341591196</c:v>
                </c:pt>
                <c:pt idx="293">
                  <c:v>3.9073112848927352</c:v>
                </c:pt>
                <c:pt idx="294">
                  <c:v>4.067366430757998</c:v>
                </c:pt>
                <c:pt idx="295">
                  <c:v>4.2261826174069963</c:v>
                </c:pt>
                <c:pt idx="296">
                  <c:v>4.383711467890774</c:v>
                </c:pt>
                <c:pt idx="297">
                  <c:v>4.5399049973954666</c:v>
                </c:pt>
                <c:pt idx="298">
                  <c:v>4.694715627858904</c:v>
                </c:pt>
                <c:pt idx="299">
                  <c:v>4.8480962024633731</c:v>
                </c:pt>
                <c:pt idx="300">
                  <c:v>5.0000000000000009</c:v>
                </c:pt>
                <c:pt idx="301">
                  <c:v>5.1503807491005418</c:v>
                </c:pt>
                <c:pt idx="302">
                  <c:v>5.2991926423320468</c:v>
                </c:pt>
                <c:pt idx="303">
                  <c:v>5.4463903501502662</c:v>
                </c:pt>
                <c:pt idx="304">
                  <c:v>5.5919290347074702</c:v>
                </c:pt>
                <c:pt idx="305">
                  <c:v>5.7357643635104605</c:v>
                </c:pt>
                <c:pt idx="306">
                  <c:v>5.8778525229247292</c:v>
                </c:pt>
                <c:pt idx="307">
                  <c:v>6.0181502315204796</c:v>
                </c:pt>
                <c:pt idx="308">
                  <c:v>6.1566147532565854</c:v>
                </c:pt>
                <c:pt idx="309">
                  <c:v>6.2932039104983755</c:v>
                </c:pt>
                <c:pt idx="310">
                  <c:v>6.4278760968653925</c:v>
                </c:pt>
                <c:pt idx="311">
                  <c:v>6.5605902899050701</c:v>
                </c:pt>
                <c:pt idx="312">
                  <c:v>6.6913060635885779</c:v>
                </c:pt>
                <c:pt idx="313">
                  <c:v>6.8199836006249859</c:v>
                </c:pt>
                <c:pt idx="314">
                  <c:v>6.9465837045899725</c:v>
                </c:pt>
                <c:pt idx="315">
                  <c:v>7.0710678118654737</c:v>
                </c:pt>
                <c:pt idx="316">
                  <c:v>7.193398003386509</c:v>
                </c:pt>
                <c:pt idx="317">
                  <c:v>7.3135370161917068</c:v>
                </c:pt>
                <c:pt idx="318">
                  <c:v>7.431448254773942</c:v>
                </c:pt>
                <c:pt idx="319">
                  <c:v>7.5470958022277195</c:v>
                </c:pt>
                <c:pt idx="320">
                  <c:v>7.6604444311897781</c:v>
                </c:pt>
                <c:pt idx="321">
                  <c:v>7.7714596145697055</c:v>
                </c:pt>
                <c:pt idx="322">
                  <c:v>7.8801075360672197</c:v>
                </c:pt>
                <c:pt idx="323">
                  <c:v>7.9863551004729283</c:v>
                </c:pt>
                <c:pt idx="324">
                  <c:v>8.0901699437494727</c:v>
                </c:pt>
                <c:pt idx="325">
                  <c:v>8.1915204428899155</c:v>
                </c:pt>
                <c:pt idx="326">
                  <c:v>8.2903757255504189</c:v>
                </c:pt>
                <c:pt idx="327">
                  <c:v>8.3867056794542414</c:v>
                </c:pt>
                <c:pt idx="328">
                  <c:v>8.4804809615642593</c:v>
                </c:pt>
                <c:pt idx="329">
                  <c:v>8.571673007021122</c:v>
                </c:pt>
                <c:pt idx="330">
                  <c:v>8.6602540378443837</c:v>
                </c:pt>
                <c:pt idx="331">
                  <c:v>8.7461970713939579</c:v>
                </c:pt>
                <c:pt idx="332">
                  <c:v>8.8294759285892681</c:v>
                </c:pt>
                <c:pt idx="333">
                  <c:v>8.9100652418836788</c:v>
                </c:pt>
                <c:pt idx="334">
                  <c:v>8.9879404629916682</c:v>
                </c:pt>
                <c:pt idx="335">
                  <c:v>9.0630778703665005</c:v>
                </c:pt>
                <c:pt idx="336">
                  <c:v>9.1354545764260102</c:v>
                </c:pt>
                <c:pt idx="337">
                  <c:v>9.2050485345244031</c:v>
                </c:pt>
                <c:pt idx="338">
                  <c:v>9.2718385456678725</c:v>
                </c:pt>
                <c:pt idx="339">
                  <c:v>9.3358042649720154</c:v>
                </c:pt>
                <c:pt idx="340">
                  <c:v>9.3969262078590852</c:v>
                </c:pt>
                <c:pt idx="341">
                  <c:v>9.4551857559931687</c:v>
                </c:pt>
                <c:pt idx="342">
                  <c:v>9.5105651629515346</c:v>
                </c:pt>
                <c:pt idx="343">
                  <c:v>9.5630475596303537</c:v>
                </c:pt>
                <c:pt idx="344">
                  <c:v>9.6126169593831889</c:v>
                </c:pt>
                <c:pt idx="345">
                  <c:v>9.6592582628906829</c:v>
                </c:pt>
                <c:pt idx="346">
                  <c:v>9.7029572627599645</c:v>
                </c:pt>
                <c:pt idx="347">
                  <c:v>9.7437006478523518</c:v>
                </c:pt>
                <c:pt idx="348">
                  <c:v>9.7814760073380551</c:v>
                </c:pt>
                <c:pt idx="349">
                  <c:v>9.8162718344766393</c:v>
                </c:pt>
                <c:pt idx="350">
                  <c:v>9.8480775301220795</c:v>
                </c:pt>
                <c:pt idx="351">
                  <c:v>9.8768834059513768</c:v>
                </c:pt>
                <c:pt idx="352">
                  <c:v>9.9026806874157032</c:v>
                </c:pt>
                <c:pt idx="353">
                  <c:v>9.9254615164132218</c:v>
                </c:pt>
                <c:pt idx="354">
                  <c:v>9.9452189536827333</c:v>
                </c:pt>
                <c:pt idx="355">
                  <c:v>9.961946980917455</c:v>
                </c:pt>
                <c:pt idx="356">
                  <c:v>9.9756405025982424</c:v>
                </c:pt>
                <c:pt idx="357">
                  <c:v>9.9862953475457381</c:v>
                </c:pt>
                <c:pt idx="358">
                  <c:v>9.993908270190957</c:v>
                </c:pt>
                <c:pt idx="359">
                  <c:v>9.9984769515639123</c:v>
                </c:pt>
                <c:pt idx="360">
                  <c:v>10</c:v>
                </c:pt>
              </c:numCache>
            </c:numRef>
          </c:xVal>
          <c:yVal>
            <c:numRef>
              <c:f>'에피,하이포'!$J$2:$J$362</c:f>
              <c:numCache>
                <c:formatCode>General</c:formatCode>
                <c:ptCount val="361"/>
                <c:pt idx="0">
                  <c:v>0</c:v>
                </c:pt>
                <c:pt idx="1">
                  <c:v>0.17452406437283513</c:v>
                </c:pt>
                <c:pt idx="2">
                  <c:v>0.34899496702500971</c:v>
                </c:pt>
                <c:pt idx="3">
                  <c:v>0.52335956242943837</c:v>
                </c:pt>
                <c:pt idx="4">
                  <c:v>0.69756473744125302</c:v>
                </c:pt>
                <c:pt idx="5">
                  <c:v>0.8715574274765816</c:v>
                </c:pt>
                <c:pt idx="6">
                  <c:v>1.0452846326765348</c:v>
                </c:pt>
                <c:pt idx="7">
                  <c:v>1.2186934340514748</c:v>
                </c:pt>
                <c:pt idx="8">
                  <c:v>1.3917310096006543</c:v>
                </c:pt>
                <c:pt idx="9">
                  <c:v>1.5643446504023086</c:v>
                </c:pt>
                <c:pt idx="10">
                  <c:v>1.7364817766693033</c:v>
                </c:pt>
                <c:pt idx="11">
                  <c:v>1.9080899537654481</c:v>
                </c:pt>
                <c:pt idx="12">
                  <c:v>2.0791169081775935</c:v>
                </c:pt>
                <c:pt idx="13">
                  <c:v>2.24951054343865</c:v>
                </c:pt>
                <c:pt idx="14">
                  <c:v>2.4192189559966772</c:v>
                </c:pt>
                <c:pt idx="15">
                  <c:v>2.5881904510252074</c:v>
                </c:pt>
                <c:pt idx="16">
                  <c:v>2.7563735581699915</c:v>
                </c:pt>
                <c:pt idx="17">
                  <c:v>2.9237170472273677</c:v>
                </c:pt>
                <c:pt idx="18">
                  <c:v>3.0901699437494741</c:v>
                </c:pt>
                <c:pt idx="19">
                  <c:v>3.255681544571567</c:v>
                </c:pt>
                <c:pt idx="20">
                  <c:v>3.420201433256687</c:v>
                </c:pt>
                <c:pt idx="21">
                  <c:v>3.5836794954530027</c:v>
                </c:pt>
                <c:pt idx="22">
                  <c:v>3.74606593415912</c:v>
                </c:pt>
                <c:pt idx="23">
                  <c:v>3.9073112848927378</c:v>
                </c:pt>
                <c:pt idx="24">
                  <c:v>4.0673664307580024</c:v>
                </c:pt>
                <c:pt idx="25">
                  <c:v>4.2261826174069945</c:v>
                </c:pt>
                <c:pt idx="26">
                  <c:v>4.383711467890774</c:v>
                </c:pt>
                <c:pt idx="27">
                  <c:v>4.5399049973954675</c:v>
                </c:pt>
                <c:pt idx="28">
                  <c:v>4.6947156278589084</c:v>
                </c:pt>
                <c:pt idx="29">
                  <c:v>4.8480962024633705</c:v>
                </c:pt>
                <c:pt idx="30">
                  <c:v>4.9999999999999991</c:v>
                </c:pt>
                <c:pt idx="31">
                  <c:v>5.1503807491005418</c:v>
                </c:pt>
                <c:pt idx="32">
                  <c:v>5.2991926423320486</c:v>
                </c:pt>
                <c:pt idx="33">
                  <c:v>5.4463903501502706</c:v>
                </c:pt>
                <c:pt idx="34">
                  <c:v>5.5919290347074693</c:v>
                </c:pt>
                <c:pt idx="35">
                  <c:v>5.7357643635104605</c:v>
                </c:pt>
                <c:pt idx="36">
                  <c:v>5.8778525229247318</c:v>
                </c:pt>
                <c:pt idx="37">
                  <c:v>6.0181502315204831</c:v>
                </c:pt>
                <c:pt idx="38">
                  <c:v>6.1566147532565827</c:v>
                </c:pt>
                <c:pt idx="39">
                  <c:v>6.2932039104983737</c:v>
                </c:pt>
                <c:pt idx="40">
                  <c:v>6.4278760968653925</c:v>
                </c:pt>
                <c:pt idx="41">
                  <c:v>6.5605902899050728</c:v>
                </c:pt>
                <c:pt idx="42">
                  <c:v>6.6913060635885824</c:v>
                </c:pt>
                <c:pt idx="43">
                  <c:v>6.819983600624985</c:v>
                </c:pt>
                <c:pt idx="44">
                  <c:v>6.9465837045899725</c:v>
                </c:pt>
                <c:pt idx="45">
                  <c:v>7.0710678118654746</c:v>
                </c:pt>
                <c:pt idx="46">
                  <c:v>7.1933980033865108</c:v>
                </c:pt>
                <c:pt idx="47">
                  <c:v>7.3135370161917042</c:v>
                </c:pt>
                <c:pt idx="48">
                  <c:v>7.431448254773942</c:v>
                </c:pt>
                <c:pt idx="49">
                  <c:v>7.5470958022277204</c:v>
                </c:pt>
                <c:pt idx="50">
                  <c:v>7.6604444311897799</c:v>
                </c:pt>
                <c:pt idx="51">
                  <c:v>7.771459614569709</c:v>
                </c:pt>
                <c:pt idx="52">
                  <c:v>7.8801075360672197</c:v>
                </c:pt>
                <c:pt idx="53">
                  <c:v>7.9863551004729283</c:v>
                </c:pt>
                <c:pt idx="54">
                  <c:v>8.0901699437494745</c:v>
                </c:pt>
                <c:pt idx="55">
                  <c:v>8.1915204428899173</c:v>
                </c:pt>
                <c:pt idx="56">
                  <c:v>8.2903757255504171</c:v>
                </c:pt>
                <c:pt idx="57">
                  <c:v>8.3867056794542414</c:v>
                </c:pt>
                <c:pt idx="58">
                  <c:v>8.4804809615642593</c:v>
                </c:pt>
                <c:pt idx="59">
                  <c:v>8.5716730070211238</c:v>
                </c:pt>
                <c:pt idx="60">
                  <c:v>8.6602540378443855</c:v>
                </c:pt>
                <c:pt idx="61">
                  <c:v>8.7461970713939579</c:v>
                </c:pt>
                <c:pt idx="62">
                  <c:v>8.8294759285892681</c:v>
                </c:pt>
                <c:pt idx="63">
                  <c:v>8.9100652418836788</c:v>
                </c:pt>
                <c:pt idx="64">
                  <c:v>8.9879404629916699</c:v>
                </c:pt>
                <c:pt idx="65">
                  <c:v>9.0630778703664987</c:v>
                </c:pt>
                <c:pt idx="66">
                  <c:v>9.1354545764260084</c:v>
                </c:pt>
                <c:pt idx="67">
                  <c:v>9.2050485345244031</c:v>
                </c:pt>
                <c:pt idx="68">
                  <c:v>9.2718385456678742</c:v>
                </c:pt>
                <c:pt idx="69">
                  <c:v>9.3358042649720172</c:v>
                </c:pt>
                <c:pt idx="70">
                  <c:v>9.3969262078590834</c:v>
                </c:pt>
                <c:pt idx="71">
                  <c:v>9.4551857559931669</c:v>
                </c:pt>
                <c:pt idx="72">
                  <c:v>9.5105651629515346</c:v>
                </c:pt>
                <c:pt idx="73">
                  <c:v>9.5630475596303537</c:v>
                </c:pt>
                <c:pt idx="74">
                  <c:v>9.6126169593831889</c:v>
                </c:pt>
                <c:pt idx="75">
                  <c:v>9.6592582628906829</c:v>
                </c:pt>
                <c:pt idx="76">
                  <c:v>9.7029572627599645</c:v>
                </c:pt>
                <c:pt idx="77">
                  <c:v>9.7437006478523518</c:v>
                </c:pt>
                <c:pt idx="78">
                  <c:v>9.7814760073380551</c:v>
                </c:pt>
                <c:pt idx="79">
                  <c:v>9.8162718344766393</c:v>
                </c:pt>
                <c:pt idx="80">
                  <c:v>9.8480775301220795</c:v>
                </c:pt>
                <c:pt idx="81">
                  <c:v>9.8768834059513786</c:v>
                </c:pt>
                <c:pt idx="82">
                  <c:v>9.9026806874157032</c:v>
                </c:pt>
                <c:pt idx="83">
                  <c:v>9.9254615164132201</c:v>
                </c:pt>
                <c:pt idx="84">
                  <c:v>9.9452189536827333</c:v>
                </c:pt>
                <c:pt idx="85">
                  <c:v>9.961946980917455</c:v>
                </c:pt>
                <c:pt idx="86">
                  <c:v>9.9756405025982424</c:v>
                </c:pt>
                <c:pt idx="87">
                  <c:v>9.9862953475457381</c:v>
                </c:pt>
                <c:pt idx="88">
                  <c:v>9.993908270190957</c:v>
                </c:pt>
                <c:pt idx="89">
                  <c:v>9.9984769515639123</c:v>
                </c:pt>
                <c:pt idx="90">
                  <c:v>10</c:v>
                </c:pt>
                <c:pt idx="91">
                  <c:v>9.9984769515639123</c:v>
                </c:pt>
                <c:pt idx="92">
                  <c:v>9.993908270190957</c:v>
                </c:pt>
                <c:pt idx="93">
                  <c:v>9.9862953475457381</c:v>
                </c:pt>
                <c:pt idx="94">
                  <c:v>9.9756405025982424</c:v>
                </c:pt>
                <c:pt idx="95">
                  <c:v>9.961946980917455</c:v>
                </c:pt>
                <c:pt idx="96">
                  <c:v>9.9452189536827333</c:v>
                </c:pt>
                <c:pt idx="97">
                  <c:v>9.9254615164132218</c:v>
                </c:pt>
                <c:pt idx="98">
                  <c:v>9.9026806874157032</c:v>
                </c:pt>
                <c:pt idx="99">
                  <c:v>9.8768834059513786</c:v>
                </c:pt>
                <c:pt idx="100">
                  <c:v>9.8480775301220795</c:v>
                </c:pt>
                <c:pt idx="101">
                  <c:v>9.8162718344766393</c:v>
                </c:pt>
                <c:pt idx="102">
                  <c:v>9.7814760073380569</c:v>
                </c:pt>
                <c:pt idx="103">
                  <c:v>9.7437006478523518</c:v>
                </c:pt>
                <c:pt idx="104">
                  <c:v>9.7029572627599645</c:v>
                </c:pt>
                <c:pt idx="105">
                  <c:v>9.6592582628906829</c:v>
                </c:pt>
                <c:pt idx="106">
                  <c:v>9.6126169593831889</c:v>
                </c:pt>
                <c:pt idx="107">
                  <c:v>9.5630475596303555</c:v>
                </c:pt>
                <c:pt idx="108">
                  <c:v>9.5105651629515364</c:v>
                </c:pt>
                <c:pt idx="109">
                  <c:v>9.4551857559931687</c:v>
                </c:pt>
                <c:pt idx="110">
                  <c:v>9.3969262078590852</c:v>
                </c:pt>
                <c:pt idx="111">
                  <c:v>9.3358042649720172</c:v>
                </c:pt>
                <c:pt idx="112">
                  <c:v>9.2718385456678742</c:v>
                </c:pt>
                <c:pt idx="113">
                  <c:v>9.2050485345244031</c:v>
                </c:pt>
                <c:pt idx="114">
                  <c:v>9.1354545764260084</c:v>
                </c:pt>
                <c:pt idx="115">
                  <c:v>9.0630778703665005</c:v>
                </c:pt>
                <c:pt idx="116">
                  <c:v>8.9879404629916699</c:v>
                </c:pt>
                <c:pt idx="117">
                  <c:v>8.9100652418836788</c:v>
                </c:pt>
                <c:pt idx="118">
                  <c:v>8.8294759285892681</c:v>
                </c:pt>
                <c:pt idx="119">
                  <c:v>8.7461970713939579</c:v>
                </c:pt>
                <c:pt idx="120">
                  <c:v>8.6602540378443873</c:v>
                </c:pt>
                <c:pt idx="121">
                  <c:v>8.5716730070211238</c:v>
                </c:pt>
                <c:pt idx="122">
                  <c:v>8.4804809615642611</c:v>
                </c:pt>
                <c:pt idx="123">
                  <c:v>8.3867056794542396</c:v>
                </c:pt>
                <c:pt idx="124">
                  <c:v>8.2903757255504171</c:v>
                </c:pt>
                <c:pt idx="125">
                  <c:v>8.1915204428899173</c:v>
                </c:pt>
                <c:pt idx="126">
                  <c:v>8.0901699437494745</c:v>
                </c:pt>
                <c:pt idx="127">
                  <c:v>7.9863551004729274</c:v>
                </c:pt>
                <c:pt idx="128">
                  <c:v>7.8801075360672197</c:v>
                </c:pt>
                <c:pt idx="129">
                  <c:v>7.7714596145697099</c:v>
                </c:pt>
                <c:pt idx="130">
                  <c:v>7.6604444311897799</c:v>
                </c:pt>
                <c:pt idx="131">
                  <c:v>7.5470958022277213</c:v>
                </c:pt>
                <c:pt idx="132">
                  <c:v>7.431448254773942</c:v>
                </c:pt>
                <c:pt idx="133">
                  <c:v>7.3135370161917059</c:v>
                </c:pt>
                <c:pt idx="134">
                  <c:v>7.1933980033865108</c:v>
                </c:pt>
                <c:pt idx="135">
                  <c:v>7.0710678118654755</c:v>
                </c:pt>
                <c:pt idx="136">
                  <c:v>6.9465837045899717</c:v>
                </c:pt>
                <c:pt idx="137">
                  <c:v>6.8199836006249859</c:v>
                </c:pt>
                <c:pt idx="138">
                  <c:v>6.6913060635885833</c:v>
                </c:pt>
                <c:pt idx="139">
                  <c:v>6.5605902899050728</c:v>
                </c:pt>
                <c:pt idx="140">
                  <c:v>6.4278760968653952</c:v>
                </c:pt>
                <c:pt idx="141">
                  <c:v>6.2932039104983737</c:v>
                </c:pt>
                <c:pt idx="142">
                  <c:v>6.1566147532565836</c:v>
                </c:pt>
                <c:pt idx="143">
                  <c:v>6.0181502315204813</c:v>
                </c:pt>
                <c:pt idx="144">
                  <c:v>5.8778525229247327</c:v>
                </c:pt>
                <c:pt idx="145">
                  <c:v>5.7357643635104596</c:v>
                </c:pt>
                <c:pt idx="146">
                  <c:v>5.5919290347074693</c:v>
                </c:pt>
                <c:pt idx="147">
                  <c:v>5.4463903501502733</c:v>
                </c:pt>
                <c:pt idx="148">
                  <c:v>5.2991926423320486</c:v>
                </c:pt>
                <c:pt idx="149">
                  <c:v>5.1503807491005436</c:v>
                </c:pt>
                <c:pt idx="150">
                  <c:v>4.9999999999999991</c:v>
                </c:pt>
                <c:pt idx="151">
                  <c:v>4.8480962024633714</c:v>
                </c:pt>
                <c:pt idx="152">
                  <c:v>4.6947156278589066</c:v>
                </c:pt>
                <c:pt idx="153">
                  <c:v>4.5399049973954684</c:v>
                </c:pt>
                <c:pt idx="154">
                  <c:v>4.3837114678907732</c:v>
                </c:pt>
                <c:pt idx="155">
                  <c:v>4.2261826174069945</c:v>
                </c:pt>
                <c:pt idx="156">
                  <c:v>4.0673664307580042</c:v>
                </c:pt>
                <c:pt idx="157">
                  <c:v>3.9073112848927378</c:v>
                </c:pt>
                <c:pt idx="158">
                  <c:v>3.7460659341591223</c:v>
                </c:pt>
                <c:pt idx="159">
                  <c:v>3.5836794954530022</c:v>
                </c:pt>
                <c:pt idx="160">
                  <c:v>3.4202014332566888</c:v>
                </c:pt>
                <c:pt idx="161">
                  <c:v>3.2556815445715657</c:v>
                </c:pt>
                <c:pt idx="162">
                  <c:v>3.090169943749475</c:v>
                </c:pt>
                <c:pt idx="163">
                  <c:v>2.9237170472273659</c:v>
                </c:pt>
                <c:pt idx="164">
                  <c:v>2.756373558169992</c:v>
                </c:pt>
                <c:pt idx="165">
                  <c:v>2.5881904510252101</c:v>
                </c:pt>
                <c:pt idx="166">
                  <c:v>2.4192189559966772</c:v>
                </c:pt>
                <c:pt idx="167">
                  <c:v>2.2495105434386522</c:v>
                </c:pt>
                <c:pt idx="168">
                  <c:v>2.0791169081775931</c:v>
                </c:pt>
                <c:pt idx="169">
                  <c:v>1.9080899537654497</c:v>
                </c:pt>
                <c:pt idx="170">
                  <c:v>1.7364817766693028</c:v>
                </c:pt>
                <c:pt idx="171">
                  <c:v>1.5643446504023097</c:v>
                </c:pt>
                <c:pt idx="172">
                  <c:v>1.3917310096006532</c:v>
                </c:pt>
                <c:pt idx="173">
                  <c:v>1.2186934340514755</c:v>
                </c:pt>
                <c:pt idx="174">
                  <c:v>1.0452846326765373</c:v>
                </c:pt>
                <c:pt idx="175">
                  <c:v>0.87155742747658194</c:v>
                </c:pt>
                <c:pt idx="176">
                  <c:v>0.69756473744125524</c:v>
                </c:pt>
                <c:pt idx="177">
                  <c:v>0.52335956242943804</c:v>
                </c:pt>
                <c:pt idx="178">
                  <c:v>0.34899496702501143</c:v>
                </c:pt>
                <c:pt idx="179">
                  <c:v>0.17452406437283438</c:v>
                </c:pt>
                <c:pt idx="180">
                  <c:v>1.22514845490862E-15</c:v>
                </c:pt>
                <c:pt idx="181">
                  <c:v>-0.17452406437283635</c:v>
                </c:pt>
                <c:pt idx="182">
                  <c:v>-0.34899496702500898</c:v>
                </c:pt>
                <c:pt idx="183">
                  <c:v>-0.5233595624294356</c:v>
                </c:pt>
                <c:pt idx="184">
                  <c:v>-0.6975647374412528</c:v>
                </c:pt>
                <c:pt idx="185">
                  <c:v>-0.87155742747657938</c:v>
                </c:pt>
                <c:pt idx="186">
                  <c:v>-1.045284632676535</c:v>
                </c:pt>
                <c:pt idx="187">
                  <c:v>-1.218693434051473</c:v>
                </c:pt>
                <c:pt idx="188">
                  <c:v>-1.3917310096006552</c:v>
                </c:pt>
                <c:pt idx="189">
                  <c:v>-1.5643446504023073</c:v>
                </c:pt>
                <c:pt idx="190">
                  <c:v>-1.7364817766693048</c:v>
                </c:pt>
                <c:pt idx="191">
                  <c:v>-1.9080899537654472</c:v>
                </c:pt>
                <c:pt idx="192">
                  <c:v>-2.0791169081775953</c:v>
                </c:pt>
                <c:pt idx="193">
                  <c:v>-2.2495105434386495</c:v>
                </c:pt>
                <c:pt idx="194">
                  <c:v>-2.419218955996675</c:v>
                </c:pt>
                <c:pt idx="195">
                  <c:v>-2.5881904510252078</c:v>
                </c:pt>
                <c:pt idx="196">
                  <c:v>-2.7563735581699902</c:v>
                </c:pt>
                <c:pt idx="197">
                  <c:v>-2.9237170472273677</c:v>
                </c:pt>
                <c:pt idx="198">
                  <c:v>-3.0901699437494727</c:v>
                </c:pt>
                <c:pt idx="199">
                  <c:v>-3.2556815445715674</c:v>
                </c:pt>
                <c:pt idx="200">
                  <c:v>-3.4202014332566866</c:v>
                </c:pt>
                <c:pt idx="201">
                  <c:v>-3.5836794954530045</c:v>
                </c:pt>
                <c:pt idx="202">
                  <c:v>-3.74606593415912</c:v>
                </c:pt>
                <c:pt idx="203">
                  <c:v>-3.9073112848927356</c:v>
                </c:pt>
                <c:pt idx="204">
                  <c:v>-4.0673664307580024</c:v>
                </c:pt>
                <c:pt idx="205">
                  <c:v>-4.2261826174069927</c:v>
                </c:pt>
                <c:pt idx="206">
                  <c:v>-4.3837114678907749</c:v>
                </c:pt>
                <c:pt idx="207">
                  <c:v>-4.5399049973954666</c:v>
                </c:pt>
                <c:pt idx="208">
                  <c:v>-4.6947156278589084</c:v>
                </c:pt>
                <c:pt idx="209">
                  <c:v>-4.8480962024633696</c:v>
                </c:pt>
                <c:pt idx="210">
                  <c:v>-5.0000000000000009</c:v>
                </c:pt>
                <c:pt idx="211">
                  <c:v>-5.1503807491005418</c:v>
                </c:pt>
                <c:pt idx="212">
                  <c:v>-5.2991926423320477</c:v>
                </c:pt>
                <c:pt idx="213">
                  <c:v>-5.4463903501502706</c:v>
                </c:pt>
                <c:pt idx="214">
                  <c:v>-5.5919290347074666</c:v>
                </c:pt>
                <c:pt idx="215">
                  <c:v>-5.7357643635104614</c:v>
                </c:pt>
                <c:pt idx="216">
                  <c:v>-5.87785252292473</c:v>
                </c:pt>
                <c:pt idx="217">
                  <c:v>-6.018150231520484</c:v>
                </c:pt>
                <c:pt idx="218">
                  <c:v>-6.1566147532565818</c:v>
                </c:pt>
                <c:pt idx="219">
                  <c:v>-6.2932039104983764</c:v>
                </c:pt>
                <c:pt idx="220">
                  <c:v>-6.4278760968653925</c:v>
                </c:pt>
                <c:pt idx="221">
                  <c:v>-6.5605902899050701</c:v>
                </c:pt>
                <c:pt idx="222">
                  <c:v>-6.6913060635885824</c:v>
                </c:pt>
                <c:pt idx="223">
                  <c:v>-6.8199836006249832</c:v>
                </c:pt>
                <c:pt idx="224">
                  <c:v>-6.9465837045899734</c:v>
                </c:pt>
                <c:pt idx="225">
                  <c:v>-7.0710678118654746</c:v>
                </c:pt>
                <c:pt idx="226">
                  <c:v>-7.1933980033865117</c:v>
                </c:pt>
                <c:pt idx="227">
                  <c:v>-7.3135370161917042</c:v>
                </c:pt>
                <c:pt idx="228">
                  <c:v>-7.4314482547739438</c:v>
                </c:pt>
                <c:pt idx="229">
                  <c:v>-7.5470958022277204</c:v>
                </c:pt>
                <c:pt idx="230">
                  <c:v>-7.660444431189779</c:v>
                </c:pt>
                <c:pt idx="231">
                  <c:v>-7.7714596145697055</c:v>
                </c:pt>
                <c:pt idx="232">
                  <c:v>-7.8801075360672215</c:v>
                </c:pt>
                <c:pt idx="233">
                  <c:v>-7.9863551004729283</c:v>
                </c:pt>
                <c:pt idx="234">
                  <c:v>-8.0901699437494727</c:v>
                </c:pt>
                <c:pt idx="235">
                  <c:v>-8.1915204428899155</c:v>
                </c:pt>
                <c:pt idx="236">
                  <c:v>-8.2903757255504189</c:v>
                </c:pt>
                <c:pt idx="237">
                  <c:v>-8.3867056794542414</c:v>
                </c:pt>
                <c:pt idx="238">
                  <c:v>-8.4804809615642593</c:v>
                </c:pt>
                <c:pt idx="239">
                  <c:v>-8.571673007021122</c:v>
                </c:pt>
                <c:pt idx="240">
                  <c:v>-8.6602540378443837</c:v>
                </c:pt>
                <c:pt idx="241">
                  <c:v>-8.7461970713939596</c:v>
                </c:pt>
                <c:pt idx="242">
                  <c:v>-8.8294759285892699</c:v>
                </c:pt>
                <c:pt idx="243">
                  <c:v>-8.9100652418836788</c:v>
                </c:pt>
                <c:pt idx="244">
                  <c:v>-8.9879404629916682</c:v>
                </c:pt>
                <c:pt idx="245">
                  <c:v>-9.0630778703665005</c:v>
                </c:pt>
                <c:pt idx="246">
                  <c:v>-9.1354545764260102</c:v>
                </c:pt>
                <c:pt idx="247">
                  <c:v>-9.2050485345244031</c:v>
                </c:pt>
                <c:pt idx="248">
                  <c:v>-9.2718385456678725</c:v>
                </c:pt>
                <c:pt idx="249">
                  <c:v>-9.3358042649720154</c:v>
                </c:pt>
                <c:pt idx="250">
                  <c:v>-9.3969262078590852</c:v>
                </c:pt>
                <c:pt idx="251">
                  <c:v>-9.4551857559931687</c:v>
                </c:pt>
                <c:pt idx="252">
                  <c:v>-9.5105651629515346</c:v>
                </c:pt>
                <c:pt idx="253">
                  <c:v>-9.5630475596303537</c:v>
                </c:pt>
                <c:pt idx="254">
                  <c:v>-9.6126169593831907</c:v>
                </c:pt>
                <c:pt idx="255">
                  <c:v>-9.6592582628906829</c:v>
                </c:pt>
                <c:pt idx="256">
                  <c:v>-9.7029572627599645</c:v>
                </c:pt>
                <c:pt idx="257">
                  <c:v>-9.7437006478523518</c:v>
                </c:pt>
                <c:pt idx="258">
                  <c:v>-9.7814760073380551</c:v>
                </c:pt>
                <c:pt idx="259">
                  <c:v>-9.8162718344766393</c:v>
                </c:pt>
                <c:pt idx="260">
                  <c:v>-9.8480775301220795</c:v>
                </c:pt>
                <c:pt idx="261">
                  <c:v>-9.8768834059513768</c:v>
                </c:pt>
                <c:pt idx="262">
                  <c:v>-9.9026806874157032</c:v>
                </c:pt>
                <c:pt idx="263">
                  <c:v>-9.9254615164132218</c:v>
                </c:pt>
                <c:pt idx="264">
                  <c:v>-9.9452189536827333</c:v>
                </c:pt>
                <c:pt idx="265">
                  <c:v>-9.961946980917455</c:v>
                </c:pt>
                <c:pt idx="266">
                  <c:v>-9.9756405025982424</c:v>
                </c:pt>
                <c:pt idx="267">
                  <c:v>-9.9862953475457381</c:v>
                </c:pt>
                <c:pt idx="268">
                  <c:v>-9.993908270190957</c:v>
                </c:pt>
                <c:pt idx="269">
                  <c:v>-9.9984769515639123</c:v>
                </c:pt>
                <c:pt idx="270">
                  <c:v>-10</c:v>
                </c:pt>
                <c:pt idx="271">
                  <c:v>-9.9984769515639123</c:v>
                </c:pt>
                <c:pt idx="272">
                  <c:v>-9.993908270190957</c:v>
                </c:pt>
                <c:pt idx="273">
                  <c:v>-9.9862953475457381</c:v>
                </c:pt>
                <c:pt idx="274">
                  <c:v>-9.9756405025982424</c:v>
                </c:pt>
                <c:pt idx="275">
                  <c:v>-9.961946980917455</c:v>
                </c:pt>
                <c:pt idx="276">
                  <c:v>-9.9452189536827333</c:v>
                </c:pt>
                <c:pt idx="277">
                  <c:v>-9.9254615164132201</c:v>
                </c:pt>
                <c:pt idx="278">
                  <c:v>-9.9026806874157032</c:v>
                </c:pt>
                <c:pt idx="279">
                  <c:v>-9.8768834059513786</c:v>
                </c:pt>
                <c:pt idx="280">
                  <c:v>-9.8480775301220813</c:v>
                </c:pt>
                <c:pt idx="281">
                  <c:v>-9.8162718344766393</c:v>
                </c:pt>
                <c:pt idx="282">
                  <c:v>-9.7814760073380551</c:v>
                </c:pt>
                <c:pt idx="283">
                  <c:v>-9.7437006478523518</c:v>
                </c:pt>
                <c:pt idx="284">
                  <c:v>-9.7029572627599663</c:v>
                </c:pt>
                <c:pt idx="285">
                  <c:v>-9.6592582628906847</c:v>
                </c:pt>
                <c:pt idx="286">
                  <c:v>-9.6126169593831872</c:v>
                </c:pt>
                <c:pt idx="287">
                  <c:v>-9.5630475596303537</c:v>
                </c:pt>
                <c:pt idx="288">
                  <c:v>-9.5105651629515364</c:v>
                </c:pt>
                <c:pt idx="289">
                  <c:v>-9.4551857559931705</c:v>
                </c:pt>
                <c:pt idx="290">
                  <c:v>-9.3969262078590834</c:v>
                </c:pt>
                <c:pt idx="291">
                  <c:v>-9.3358042649720172</c:v>
                </c:pt>
                <c:pt idx="292">
                  <c:v>-9.2718385456678742</c:v>
                </c:pt>
                <c:pt idx="293">
                  <c:v>-9.2050485345244049</c:v>
                </c:pt>
                <c:pt idx="294">
                  <c:v>-9.1354545764260102</c:v>
                </c:pt>
                <c:pt idx="295">
                  <c:v>-9.0630778703664987</c:v>
                </c:pt>
                <c:pt idx="296">
                  <c:v>-8.9879404629916699</c:v>
                </c:pt>
                <c:pt idx="297">
                  <c:v>-8.9100652418836788</c:v>
                </c:pt>
                <c:pt idx="298">
                  <c:v>-8.8294759285892717</c:v>
                </c:pt>
                <c:pt idx="299">
                  <c:v>-8.7461970713939561</c:v>
                </c:pt>
                <c:pt idx="300">
                  <c:v>-8.6602540378443855</c:v>
                </c:pt>
                <c:pt idx="301">
                  <c:v>-8.5716730070211238</c:v>
                </c:pt>
                <c:pt idx="302">
                  <c:v>-8.4804809615642611</c:v>
                </c:pt>
                <c:pt idx="303">
                  <c:v>-8.3867056794542432</c:v>
                </c:pt>
                <c:pt idx="304">
                  <c:v>-8.2903757255504154</c:v>
                </c:pt>
                <c:pt idx="305">
                  <c:v>-8.1915204428899173</c:v>
                </c:pt>
                <c:pt idx="306">
                  <c:v>-8.0901699437494763</c:v>
                </c:pt>
                <c:pt idx="307">
                  <c:v>-7.986355100472931</c:v>
                </c:pt>
                <c:pt idx="308">
                  <c:v>-7.8801075360672179</c:v>
                </c:pt>
                <c:pt idx="309">
                  <c:v>-7.7714596145697081</c:v>
                </c:pt>
                <c:pt idx="310">
                  <c:v>-7.6604444311897808</c:v>
                </c:pt>
                <c:pt idx="311">
                  <c:v>-7.5470958022277221</c:v>
                </c:pt>
                <c:pt idx="312">
                  <c:v>-7.4314482547739455</c:v>
                </c:pt>
                <c:pt idx="313">
                  <c:v>-7.3135370161917033</c:v>
                </c:pt>
                <c:pt idx="314">
                  <c:v>-7.1933980033865117</c:v>
                </c:pt>
                <c:pt idx="315">
                  <c:v>-7.0710678118654773</c:v>
                </c:pt>
                <c:pt idx="316">
                  <c:v>-6.9465837045899761</c:v>
                </c:pt>
                <c:pt idx="317">
                  <c:v>-6.8199836006249823</c:v>
                </c:pt>
                <c:pt idx="318">
                  <c:v>-6.6913060635885815</c:v>
                </c:pt>
                <c:pt idx="319">
                  <c:v>-6.5605902899050736</c:v>
                </c:pt>
                <c:pt idx="320">
                  <c:v>-6.4278760968653961</c:v>
                </c:pt>
                <c:pt idx="321">
                  <c:v>-6.2932039104983781</c:v>
                </c:pt>
                <c:pt idx="322">
                  <c:v>-6.1566147532565818</c:v>
                </c:pt>
                <c:pt idx="323">
                  <c:v>-6.0181502315204831</c:v>
                </c:pt>
                <c:pt idx="324">
                  <c:v>-5.8778525229247336</c:v>
                </c:pt>
                <c:pt idx="325">
                  <c:v>-5.7357643635104649</c:v>
                </c:pt>
                <c:pt idx="326">
                  <c:v>-5.5919290347074657</c:v>
                </c:pt>
                <c:pt idx="327">
                  <c:v>-5.4463903501502697</c:v>
                </c:pt>
                <c:pt idx="328">
                  <c:v>-5.2991926423320503</c:v>
                </c:pt>
                <c:pt idx="329">
                  <c:v>-5.1503807491005453</c:v>
                </c:pt>
                <c:pt idx="330">
                  <c:v>-5.0000000000000044</c:v>
                </c:pt>
                <c:pt idx="331">
                  <c:v>-4.8480962024633687</c:v>
                </c:pt>
                <c:pt idx="332">
                  <c:v>-4.6947156278589084</c:v>
                </c:pt>
                <c:pt idx="333">
                  <c:v>-4.5399049973954693</c:v>
                </c:pt>
                <c:pt idx="334">
                  <c:v>-4.3837114678907776</c:v>
                </c:pt>
                <c:pt idx="335">
                  <c:v>-4.2261826174069919</c:v>
                </c:pt>
                <c:pt idx="336">
                  <c:v>-4.0673664307580015</c:v>
                </c:pt>
                <c:pt idx="337">
                  <c:v>-3.9073112848927387</c:v>
                </c:pt>
                <c:pt idx="338">
                  <c:v>-3.7460659341591236</c:v>
                </c:pt>
                <c:pt idx="339">
                  <c:v>-3.5836794954530076</c:v>
                </c:pt>
                <c:pt idx="340">
                  <c:v>-3.4202014332566861</c:v>
                </c:pt>
                <c:pt idx="341">
                  <c:v>-3.255681544571567</c:v>
                </c:pt>
                <c:pt idx="342">
                  <c:v>-3.0901699437494763</c:v>
                </c:pt>
                <c:pt idx="343">
                  <c:v>-2.9237170472273717</c:v>
                </c:pt>
                <c:pt idx="344">
                  <c:v>-2.7563735581699893</c:v>
                </c:pt>
                <c:pt idx="345">
                  <c:v>-2.588190451025207</c:v>
                </c:pt>
                <c:pt idx="346">
                  <c:v>-2.4192189559966786</c:v>
                </c:pt>
                <c:pt idx="347">
                  <c:v>-2.2495105434386535</c:v>
                </c:pt>
                <c:pt idx="348">
                  <c:v>-2.0791169081775989</c:v>
                </c:pt>
                <c:pt idx="349">
                  <c:v>-1.9080899537654465</c:v>
                </c:pt>
                <c:pt idx="350">
                  <c:v>-1.7364817766693039</c:v>
                </c:pt>
                <c:pt idx="351">
                  <c:v>-1.5643446504023113</c:v>
                </c:pt>
                <c:pt idx="352">
                  <c:v>-1.3917310096006588</c:v>
                </c:pt>
                <c:pt idx="353">
                  <c:v>-1.2186934340514723</c:v>
                </c:pt>
                <c:pt idx="354">
                  <c:v>-1.0452846326765342</c:v>
                </c:pt>
                <c:pt idx="355">
                  <c:v>-0.87155742747658316</c:v>
                </c:pt>
                <c:pt idx="356">
                  <c:v>-0.69756473744125636</c:v>
                </c:pt>
                <c:pt idx="357">
                  <c:v>-0.5233595624294437</c:v>
                </c:pt>
                <c:pt idx="358">
                  <c:v>-0.34899496702500821</c:v>
                </c:pt>
                <c:pt idx="359">
                  <c:v>-0.1745240643728356</c:v>
                </c:pt>
                <c:pt idx="360">
                  <c:v>-2.45029690981724E-15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5A-4907-A160-63038578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086704"/>
        <c:axId val="1078084784"/>
      </c:scatterChart>
      <c:valAx>
        <c:axId val="10780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8084784"/>
        <c:crosses val="autoZero"/>
        <c:crossBetween val="midCat"/>
      </c:valAx>
      <c:valAx>
        <c:axId val="107808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7808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655021</xdr:colOff>
      <xdr:row>17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0476DDC-7D64-4DA3-AA30-43665CA7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1421" cy="3590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7620</xdr:rowOff>
    </xdr:from>
    <xdr:to>
      <xdr:col>14</xdr:col>
      <xdr:colOff>247200</xdr:colOff>
      <xdr:row>17</xdr:row>
      <xdr:rowOff>71940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0C8AE55-6193-4D75-96C5-BEF1150FA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4</xdr:row>
      <xdr:rowOff>175260</xdr:rowOff>
    </xdr:from>
    <xdr:to>
      <xdr:col>13</xdr:col>
      <xdr:colOff>475800</xdr:colOff>
      <xdr:row>21</xdr:row>
      <xdr:rowOff>18600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AF8130F-B875-4904-9E74-7BE27CF95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327660</xdr:colOff>
      <xdr:row>0</xdr:row>
      <xdr:rowOff>175260</xdr:rowOff>
    </xdr:from>
    <xdr:to>
      <xdr:col>17</xdr:col>
      <xdr:colOff>574860</xdr:colOff>
      <xdr:row>17</xdr:row>
      <xdr:rowOff>18600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5AC4EC5-6162-4473-97C9-B7B26C4F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EAE2-135A-4996-8901-4C55F767CFD9}">
  <dimension ref="J3:P28"/>
  <sheetViews>
    <sheetView workbookViewId="0">
      <selection activeCell="J17" sqref="J17:P17"/>
    </sheetView>
  </sheetViews>
  <sheetFormatPr defaultRowHeight="17.399999999999999"/>
  <cols>
    <col min="10" max="10" width="25.8984375" customWidth="1"/>
    <col min="11" max="11" width="18.69921875" bestFit="1" customWidth="1"/>
    <col min="13" max="13" width="15.59765625" customWidth="1"/>
    <col min="15" max="15" width="18.59765625" customWidth="1"/>
    <col min="16" max="16" width="45.8984375" customWidth="1"/>
  </cols>
  <sheetData>
    <row r="3" spans="10:16">
      <c r="J3" s="8" t="s">
        <v>64</v>
      </c>
      <c r="K3" s="8" t="s">
        <v>24</v>
      </c>
      <c r="L3" s="8" t="s">
        <v>25</v>
      </c>
      <c r="M3" s="8" t="s">
        <v>62</v>
      </c>
      <c r="N3" s="8" t="s">
        <v>66</v>
      </c>
      <c r="O3" s="8" t="s">
        <v>70</v>
      </c>
      <c r="P3" s="8" t="s">
        <v>71</v>
      </c>
    </row>
    <row r="4" spans="10:16">
      <c r="J4" t="s">
        <v>42</v>
      </c>
      <c r="K4" t="s">
        <v>67</v>
      </c>
      <c r="L4">
        <f>M4*N4</f>
        <v>16</v>
      </c>
      <c r="M4">
        <v>4</v>
      </c>
      <c r="N4">
        <v>4</v>
      </c>
      <c r="O4" t="s">
        <v>72</v>
      </c>
      <c r="P4" t="s">
        <v>104</v>
      </c>
    </row>
    <row r="5" spans="10:16">
      <c r="J5" t="s">
        <v>63</v>
      </c>
      <c r="K5" t="s">
        <v>68</v>
      </c>
      <c r="L5">
        <f t="shared" ref="L5:L11" si="0">M5*N5</f>
        <v>10</v>
      </c>
      <c r="M5">
        <v>10</v>
      </c>
      <c r="N5">
        <v>1</v>
      </c>
      <c r="O5" t="s">
        <v>103</v>
      </c>
      <c r="P5" t="s">
        <v>105</v>
      </c>
    </row>
    <row r="6" spans="10:16">
      <c r="J6" t="s">
        <v>43</v>
      </c>
      <c r="K6" t="s">
        <v>74</v>
      </c>
      <c r="L6">
        <f t="shared" si="0"/>
        <v>2</v>
      </c>
      <c r="M6">
        <v>2</v>
      </c>
      <c r="N6">
        <v>1</v>
      </c>
      <c r="O6" t="s">
        <v>46</v>
      </c>
    </row>
    <row r="7" spans="10:16">
      <c r="J7" t="s">
        <v>44</v>
      </c>
      <c r="K7" t="s">
        <v>73</v>
      </c>
      <c r="L7">
        <f t="shared" si="0"/>
        <v>2</v>
      </c>
      <c r="M7">
        <v>2</v>
      </c>
      <c r="N7">
        <v>1</v>
      </c>
      <c r="O7" t="s">
        <v>47</v>
      </c>
    </row>
    <row r="8" spans="10:16">
      <c r="J8" t="s">
        <v>45</v>
      </c>
      <c r="K8" t="s">
        <v>73</v>
      </c>
      <c r="L8">
        <f t="shared" si="0"/>
        <v>2</v>
      </c>
      <c r="M8">
        <v>2</v>
      </c>
      <c r="N8">
        <v>1</v>
      </c>
      <c r="O8" t="s">
        <v>47</v>
      </c>
    </row>
    <row r="9" spans="10:16">
      <c r="J9" t="s">
        <v>61</v>
      </c>
      <c r="K9" t="s">
        <v>75</v>
      </c>
      <c r="L9">
        <f t="shared" si="0"/>
        <v>4</v>
      </c>
      <c r="M9">
        <v>2</v>
      </c>
      <c r="N9">
        <v>2</v>
      </c>
      <c r="O9" t="s">
        <v>76</v>
      </c>
    </row>
    <row r="10" spans="10:16">
      <c r="J10" t="s">
        <v>59</v>
      </c>
      <c r="K10" t="s">
        <v>77</v>
      </c>
      <c r="L10">
        <f t="shared" si="0"/>
        <v>1</v>
      </c>
      <c r="M10">
        <v>1</v>
      </c>
      <c r="N10">
        <v>1</v>
      </c>
      <c r="O10" t="s">
        <v>76</v>
      </c>
    </row>
    <row r="11" spans="10:16">
      <c r="J11" t="s">
        <v>60</v>
      </c>
      <c r="K11" t="s">
        <v>78</v>
      </c>
      <c r="L11">
        <f t="shared" si="0"/>
        <v>2</v>
      </c>
      <c r="M11">
        <v>1</v>
      </c>
      <c r="N11">
        <v>2</v>
      </c>
      <c r="O11" t="s">
        <v>79</v>
      </c>
    </row>
    <row r="17" spans="10:16">
      <c r="J17" s="8" t="s">
        <v>65</v>
      </c>
      <c r="K17" s="8" t="s">
        <v>24</v>
      </c>
      <c r="L17" s="8" t="s">
        <v>25</v>
      </c>
      <c r="M17" s="8" t="s">
        <v>91</v>
      </c>
      <c r="N17" s="17" t="s">
        <v>69</v>
      </c>
      <c r="O17" s="17"/>
      <c r="P17" s="17"/>
    </row>
    <row r="18" spans="10:16">
      <c r="J18" t="s">
        <v>48</v>
      </c>
      <c r="K18" t="s">
        <v>80</v>
      </c>
      <c r="L18">
        <v>1</v>
      </c>
      <c r="N18" s="16" t="s">
        <v>92</v>
      </c>
      <c r="O18" s="16"/>
      <c r="P18" s="16"/>
    </row>
    <row r="19" spans="10:16">
      <c r="J19" t="s">
        <v>49</v>
      </c>
      <c r="K19" t="s">
        <v>81</v>
      </c>
      <c r="L19">
        <v>1</v>
      </c>
      <c r="N19" s="16" t="s">
        <v>93</v>
      </c>
      <c r="O19" s="16"/>
      <c r="P19" s="16"/>
    </row>
    <row r="20" spans="10:16">
      <c r="J20" t="s">
        <v>50</v>
      </c>
      <c r="K20" t="s">
        <v>82</v>
      </c>
      <c r="L20">
        <v>1</v>
      </c>
      <c r="N20" s="16" t="s">
        <v>94</v>
      </c>
      <c r="O20" s="16"/>
      <c r="P20" s="16"/>
    </row>
    <row r="21" spans="10:16">
      <c r="J21" t="s">
        <v>51</v>
      </c>
      <c r="K21" t="s">
        <v>83</v>
      </c>
      <c r="L21">
        <v>2</v>
      </c>
      <c r="N21" s="16" t="s">
        <v>95</v>
      </c>
      <c r="O21" s="16"/>
      <c r="P21" s="16"/>
    </row>
    <row r="22" spans="10:16">
      <c r="J22" t="s">
        <v>52</v>
      </c>
      <c r="K22" t="s">
        <v>84</v>
      </c>
      <c r="L22">
        <v>2</v>
      </c>
      <c r="N22" s="16" t="s">
        <v>96</v>
      </c>
      <c r="O22" s="16"/>
      <c r="P22" s="16"/>
    </row>
    <row r="23" spans="10:16">
      <c r="J23" t="s">
        <v>53</v>
      </c>
      <c r="K23" t="s">
        <v>85</v>
      </c>
      <c r="L23">
        <v>2</v>
      </c>
      <c r="N23" s="16" t="s">
        <v>97</v>
      </c>
      <c r="O23" s="16"/>
      <c r="P23" s="16"/>
    </row>
    <row r="24" spans="10:16">
      <c r="J24" t="s">
        <v>54</v>
      </c>
      <c r="K24" t="s">
        <v>86</v>
      </c>
      <c r="L24">
        <v>2</v>
      </c>
      <c r="N24" s="16" t="s">
        <v>98</v>
      </c>
      <c r="O24" s="16"/>
      <c r="P24" s="16"/>
    </row>
    <row r="25" spans="10:16">
      <c r="J25" t="s">
        <v>55</v>
      </c>
      <c r="K25" t="s">
        <v>88</v>
      </c>
      <c r="L25">
        <v>1</v>
      </c>
      <c r="N25" s="16" t="s">
        <v>100</v>
      </c>
      <c r="O25" s="16"/>
      <c r="P25" s="16"/>
    </row>
    <row r="26" spans="10:16">
      <c r="J26" t="s">
        <v>56</v>
      </c>
      <c r="K26" t="s">
        <v>87</v>
      </c>
      <c r="L26">
        <v>1</v>
      </c>
      <c r="N26" s="16" t="s">
        <v>99</v>
      </c>
      <c r="O26" s="16"/>
      <c r="P26" s="16"/>
    </row>
    <row r="27" spans="10:16">
      <c r="J27" t="s">
        <v>57</v>
      </c>
      <c r="K27" t="s">
        <v>89</v>
      </c>
      <c r="L27">
        <v>1</v>
      </c>
      <c r="N27" s="16" t="s">
        <v>101</v>
      </c>
      <c r="O27" s="16"/>
      <c r="P27" s="16"/>
    </row>
    <row r="28" spans="10:16">
      <c r="J28" t="s">
        <v>58</v>
      </c>
      <c r="K28" t="s">
        <v>90</v>
      </c>
      <c r="L28">
        <v>1</v>
      </c>
      <c r="N28" s="16" t="s">
        <v>102</v>
      </c>
      <c r="O28" s="16"/>
      <c r="P28" s="16"/>
    </row>
  </sheetData>
  <mergeCells count="12">
    <mergeCell ref="N28:P28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D360-606B-44E5-B365-EBA2C0F99BBC}">
  <dimension ref="A1:I362"/>
  <sheetViews>
    <sheetView tabSelected="1" zoomScaleNormal="100" workbookViewId="0">
      <selection activeCell="B19" sqref="B19"/>
    </sheetView>
  </sheetViews>
  <sheetFormatPr defaultRowHeight="17.399999999999999"/>
  <cols>
    <col min="6" max="6" width="16.19921875" customWidth="1"/>
    <col min="7" max="7" width="9.5" bestFit="1" customWidth="1"/>
  </cols>
  <sheetData>
    <row r="1" spans="1:9">
      <c r="A1" t="s">
        <v>1</v>
      </c>
      <c r="B1">
        <v>18.5</v>
      </c>
      <c r="D1" t="s">
        <v>8</v>
      </c>
      <c r="E1" t="s">
        <v>7</v>
      </c>
      <c r="F1" t="s">
        <v>5</v>
      </c>
      <c r="G1" t="s">
        <v>6</v>
      </c>
    </row>
    <row r="2" spans="1:9">
      <c r="A2" t="s">
        <v>2</v>
      </c>
      <c r="B2">
        <v>1</v>
      </c>
      <c r="D2">
        <v>0</v>
      </c>
      <c r="E2" s="1">
        <f>RADIANS(D2)</f>
        <v>0</v>
      </c>
      <c r="F2" s="1">
        <f t="shared" ref="F2:F65" si="0">($B$1*COS(E2)) - ($B$3*COS(E2 + ATAN(SIN((1-$B$4)*E2) / (($B$1/($B$2*$B$4)) - COS((1-$B$4)*E2))))) - ($B$2*COS($B$4*E2))</f>
        <v>15.5</v>
      </c>
      <c r="G2" s="1">
        <f t="shared" ref="G2:G65" si="1">(-$B$1*SIN(E2)) + ($B$3*SIN(E2 + ATAN(SIN((1-$B$4)*E2) / (($B$1/($B$2*$B$4)) - COS((1-$B$4)*E2))))) + ($B$2*SIN($B$4*E2))</f>
        <v>0</v>
      </c>
      <c r="H2">
        <f t="shared" ref="H2:H65" si="2">$B$1*COS(E2)</f>
        <v>18.5</v>
      </c>
      <c r="I2" s="1">
        <f t="shared" ref="I2:I65" si="3">$B$1*SIN(E2)</f>
        <v>0</v>
      </c>
    </row>
    <row r="3" spans="1:9">
      <c r="A3" t="s">
        <v>3</v>
      </c>
      <c r="B3">
        <v>2</v>
      </c>
      <c r="D3">
        <v>1</v>
      </c>
      <c r="E3" s="1">
        <f t="shared" ref="E3:E66" si="4">RADIANS(D3)</f>
        <v>1.7453292519943295E-2</v>
      </c>
      <c r="F3" s="1">
        <f t="shared" si="0"/>
        <v>16.323135093411445</v>
      </c>
      <c r="G3" s="1">
        <f t="shared" si="1"/>
        <v>-1.6375626819602123</v>
      </c>
      <c r="H3">
        <f t="shared" si="2"/>
        <v>18.497182360393239</v>
      </c>
      <c r="I3" s="1">
        <f t="shared" si="3"/>
        <v>0.32286951908974498</v>
      </c>
    </row>
    <row r="4" spans="1:9" ht="18" thickBot="1">
      <c r="A4" t="s">
        <v>4</v>
      </c>
      <c r="B4">
        <v>16</v>
      </c>
      <c r="D4">
        <v>2</v>
      </c>
      <c r="E4" s="1">
        <f t="shared" si="4"/>
        <v>3.4906585039886591E-2</v>
      </c>
      <c r="F4" s="1">
        <f t="shared" si="0"/>
        <v>16.576909769426585</v>
      </c>
      <c r="G4" s="1">
        <f t="shared" si="1"/>
        <v>-1.8093530872229746</v>
      </c>
      <c r="H4">
        <f t="shared" si="2"/>
        <v>18.488730299853273</v>
      </c>
      <c r="I4" s="1">
        <f t="shared" si="3"/>
        <v>0.64564068899626792</v>
      </c>
    </row>
    <row r="5" spans="1:9">
      <c r="A5" s="20" t="s">
        <v>16</v>
      </c>
      <c r="B5" s="21"/>
      <c r="C5" s="22"/>
      <c r="D5">
        <v>3</v>
      </c>
      <c r="E5" s="1">
        <f t="shared" si="4"/>
        <v>5.235987755982989E-2</v>
      </c>
      <c r="F5" s="1">
        <f t="shared" si="0"/>
        <v>16.646296909484199</v>
      </c>
      <c r="G5" s="1">
        <f t="shared" si="1"/>
        <v>-1.8548591841395401</v>
      </c>
      <c r="H5">
        <f t="shared" si="2"/>
        <v>18.474646392959617</v>
      </c>
      <c r="I5" s="1">
        <f t="shared" si="3"/>
        <v>0.96821519049446092</v>
      </c>
    </row>
    <row r="6" spans="1:9">
      <c r="A6" s="3" t="s">
        <v>19</v>
      </c>
      <c r="B6" s="4" t="str">
        <f>"(" &amp; B1 &amp; " * cos(t * 1 rad) - " &amp; B3 &amp; " * cos(t * 1 rad + atan(sin(" &amp; (1-B4) &amp; " * t * 1 rad) / ((" &amp; B1 &amp; " / (" &amp; B2 &amp; " * " &amp; B4 &amp; ")) - cos(" &amp; (1-B4) &amp; " * t * 1 rad)))) - " &amp; B2 &amp; " * cos(" &amp; B4 &amp; " * t * 1 rad)) * 1 mm"</f>
        <v>(18.5 * cos(t * 1 rad) - 2 * cos(t * 1 rad + atan(sin(-15 * t * 1 rad) / ((18.5 / (1 * 16)) - cos(-15 * t * 1 rad)))) - 1 * cos(16 * t * 1 rad)) * 1 mm</v>
      </c>
      <c r="C6" s="5"/>
      <c r="D6">
        <v>4</v>
      </c>
      <c r="E6" s="1">
        <f t="shared" si="4"/>
        <v>6.9813170079773182E-2</v>
      </c>
      <c r="F6" s="1">
        <f t="shared" si="0"/>
        <v>16.700397694908499</v>
      </c>
      <c r="G6" s="1">
        <f t="shared" si="1"/>
        <v>-1.8975914273187307</v>
      </c>
      <c r="H6">
        <f t="shared" si="2"/>
        <v>18.454934929806747</v>
      </c>
      <c r="I6" s="1">
        <f t="shared" si="3"/>
        <v>1.290494764266318</v>
      </c>
    </row>
    <row r="7" spans="1:9">
      <c r="A7" s="3" t="s">
        <v>20</v>
      </c>
      <c r="B7" s="4" t="str">
        <f>"(-" &amp; B1 &amp; " * sin(t * 1 rad) + " &amp; B3 &amp; " * sin(t * 1 rad + atan(sin(" &amp; (1-B4) &amp; " * t * 1 rad) / ((" &amp; B1 &amp; " / (" &amp; B2 &amp; " * " &amp; B4 &amp; ")) - cos(" &amp; (1-B4) &amp; " * t * 1 rad)))) + " &amp; B2 &amp; " * sin(" &amp; B4 &amp; " * t * 1 rad)) * 1 mm"</f>
        <v>(-18.5 * sin(t * 1 rad) + 2 * sin(t * 1 rad + atan(sin(-15 * t * 1 rad) / ((18.5 / (1 * 16)) - cos(-15 * t * 1 rad)))) + 1 * sin(16 * t * 1 rad)) * 1 mm</v>
      </c>
      <c r="C7" s="6"/>
      <c r="D7">
        <v>5</v>
      </c>
      <c r="E7" s="1">
        <f t="shared" si="4"/>
        <v>8.7266462599716474E-2</v>
      </c>
      <c r="F7" s="1">
        <f t="shared" si="0"/>
        <v>16.772123278219912</v>
      </c>
      <c r="G7" s="1">
        <f t="shared" si="1"/>
        <v>-1.9685608738549814</v>
      </c>
      <c r="H7">
        <f t="shared" si="2"/>
        <v>18.429601914697294</v>
      </c>
      <c r="I7" s="1">
        <f t="shared" si="3"/>
        <v>1.612381240831676</v>
      </c>
    </row>
    <row r="8" spans="1:9">
      <c r="A8" s="3" t="s">
        <v>17</v>
      </c>
      <c r="B8" s="23">
        <v>0</v>
      </c>
      <c r="C8" s="24"/>
      <c r="D8">
        <v>6</v>
      </c>
      <c r="E8" s="1">
        <f t="shared" si="4"/>
        <v>0.10471975511965978</v>
      </c>
      <c r="F8" s="1">
        <f t="shared" si="0"/>
        <v>16.861989063287165</v>
      </c>
      <c r="G8" s="1">
        <f t="shared" si="1"/>
        <v>-2.0822685553018534</v>
      </c>
      <c r="H8">
        <f t="shared" si="2"/>
        <v>18.398655064313054</v>
      </c>
      <c r="I8" s="1">
        <f t="shared" si="3"/>
        <v>1.9337765704515892</v>
      </c>
    </row>
    <row r="9" spans="1:9" ht="18" thickBot="1">
      <c r="A9" s="7" t="s">
        <v>18</v>
      </c>
      <c r="B9" s="18" t="s">
        <v>21</v>
      </c>
      <c r="C9" s="19"/>
      <c r="D9">
        <v>7</v>
      </c>
      <c r="E9" s="1">
        <f t="shared" si="4"/>
        <v>0.12217304763960307</v>
      </c>
      <c r="F9" s="1">
        <f t="shared" si="0"/>
        <v>16.959755176306114</v>
      </c>
      <c r="G9" s="1">
        <f t="shared" si="1"/>
        <v>-2.2452389285477796</v>
      </c>
      <c r="H9">
        <f t="shared" si="2"/>
        <v>18.362103805364455</v>
      </c>
      <c r="I9" s="1">
        <f t="shared" si="3"/>
        <v>2.2545828529952283</v>
      </c>
    </row>
    <row r="10" spans="1:9">
      <c r="A10" s="20" t="s">
        <v>132</v>
      </c>
      <c r="B10" s="21"/>
      <c r="C10" s="22"/>
      <c r="D10">
        <v>8</v>
      </c>
      <c r="E10" s="1">
        <f t="shared" si="4"/>
        <v>0.13962634015954636</v>
      </c>
      <c r="F10" s="1">
        <f t="shared" si="0"/>
        <v>17.051556372499785</v>
      </c>
      <c r="G10" s="1">
        <f t="shared" si="1"/>
        <v>-2.457736644365303</v>
      </c>
      <c r="H10">
        <f t="shared" si="2"/>
        <v>18.319959271719053</v>
      </c>
      <c r="I10" s="1">
        <f t="shared" si="3"/>
        <v>2.5747023677612106</v>
      </c>
    </row>
    <row r="11" spans="1:9">
      <c r="A11" s="3" t="s">
        <v>19</v>
      </c>
      <c r="B11" s="4" t="str">
        <f>"(" &amp; B1 &amp; " * cos(t * 1 rad) - " &amp; B2 &amp; " * cos(" &amp; B4 &amp; " * t * 1 rad) + " &amp; B3 &amp; " * (" &amp; B1 &amp; " * cos(t * 1 rad) + " &amp; (B2 * B4) &amp; " * cos(" &amp; B4 &amp; " * t * 1 rad)) / sqrt(" &amp; (B1^2 + (B2 * B4)^2) &amp; " + " &amp; (2 * B1 * B2 * B4) &amp; " * cos(" &amp; (B4 + 1) &amp; " * t * 1 rad))) * 1 mm"</f>
        <v>(18.5 * cos(t * 1 rad) - 1 * cos(16 * t * 1 rad) + 2 * (18.5 * cos(t * 1 rad) + 16 * cos(16 * t * 1 rad)) / sqrt(598.25 + 592 * cos(17 * t * 1 rad))) * 1 mm</v>
      </c>
      <c r="C11" s="14"/>
      <c r="D11">
        <v>9</v>
      </c>
      <c r="E11" s="1">
        <f t="shared" si="4"/>
        <v>0.15707963267948966</v>
      </c>
      <c r="F11" s="1">
        <f t="shared" si="0"/>
        <v>17.123379260444004</v>
      </c>
      <c r="G11" s="1">
        <f t="shared" si="1"/>
        <v>-2.7145868887954867</v>
      </c>
      <c r="H11">
        <f t="shared" si="2"/>
        <v>18.272234301010048</v>
      </c>
      <c r="I11" s="1">
        <f t="shared" si="3"/>
        <v>2.894037603244271</v>
      </c>
    </row>
    <row r="12" spans="1:9">
      <c r="A12" s="3" t="s">
        <v>20</v>
      </c>
      <c r="B12" s="13" t="str">
        <f>"(-" &amp; B1 &amp; " * sin(t * 1 rad) - " &amp; B2 &amp; " * sin(" &amp; B4 &amp; " * t * 1 rad) + " &amp; B3 &amp; " * (-" &amp; B1 &amp; " * sin(t * 1 rad) + " &amp; (B2 * B4) &amp; " * sin(" &amp; B4 &amp; " * t * 1 rad)) / sqrt(" &amp; (B1^2 + (B2 * B4)^2) &amp; " + " &amp; (2 * B1 * B2 * B4) &amp; " * cos(" &amp; (B4 + 1) &amp; " * t * 1 rad))) * 1 mm"</f>
        <v>(-18.5 * sin(t * 1 rad) - 1 * sin(16 * t * 1 rad) + 2 * (-18.5 * sin(t * 1 rad) + 16 * sin(16 * t * 1 rad)) / sqrt(598.25 + 592 * cos(17 * t * 1 rad))) * 1 mm</v>
      </c>
      <c r="C12" s="14"/>
      <c r="D12">
        <v>10</v>
      </c>
      <c r="E12" s="1">
        <f t="shared" si="4"/>
        <v>0.17453292519943295</v>
      </c>
      <c r="F12" s="1">
        <f t="shared" si="0"/>
        <v>17.163238219226741</v>
      </c>
      <c r="G12" s="1">
        <f t="shared" si="1"/>
        <v>-3.0060716262265119</v>
      </c>
      <c r="H12">
        <f t="shared" si="2"/>
        <v>18.218943430725847</v>
      </c>
      <c r="I12" s="1">
        <f t="shared" si="3"/>
        <v>3.2124912868382109</v>
      </c>
    </row>
    <row r="13" spans="1:9">
      <c r="A13" s="3" t="s">
        <v>17</v>
      </c>
      <c r="B13" s="25">
        <v>0</v>
      </c>
      <c r="C13" s="24"/>
      <c r="D13">
        <v>11</v>
      </c>
      <c r="E13" s="1">
        <f t="shared" si="4"/>
        <v>0.19198621771937624</v>
      </c>
      <c r="F13" s="1">
        <f t="shared" si="0"/>
        <v>17.16265294106358</v>
      </c>
      <c r="G13" s="1">
        <f t="shared" si="1"/>
        <v>-3.3190748000886483</v>
      </c>
      <c r="H13">
        <f t="shared" si="2"/>
        <v>18.160102893781783</v>
      </c>
      <c r="I13" s="1">
        <f t="shared" si="3"/>
        <v>3.5299664144660787</v>
      </c>
    </row>
    <row r="14" spans="1:9" ht="18" thickBot="1">
      <c r="A14" s="7" t="s">
        <v>18</v>
      </c>
      <c r="B14" s="18" t="s">
        <v>21</v>
      </c>
      <c r="C14" s="19"/>
      <c r="D14">
        <v>12</v>
      </c>
      <c r="E14" s="1">
        <f t="shared" si="4"/>
        <v>0.20943951023931956</v>
      </c>
      <c r="F14" s="1">
        <f t="shared" si="0"/>
        <v>17.1175830128416</v>
      </c>
      <c r="G14" s="1">
        <f t="shared" si="1"/>
        <v>-3.6384545893107885</v>
      </c>
      <c r="H14">
        <f t="shared" si="2"/>
        <v>18.095730613575405</v>
      </c>
      <c r="I14" s="1">
        <f t="shared" si="3"/>
        <v>3.8463662801285476</v>
      </c>
    </row>
    <row r="15" spans="1:9">
      <c r="A15" s="15"/>
      <c r="B15" s="15"/>
      <c r="C15" s="15"/>
      <c r="D15">
        <v>13</v>
      </c>
      <c r="E15" s="1">
        <f t="shared" si="4"/>
        <v>0.22689280275926285</v>
      </c>
      <c r="F15" s="1">
        <f t="shared" si="0"/>
        <v>17.028852977710599</v>
      </c>
      <c r="G15" s="1">
        <f t="shared" si="1"/>
        <v>-3.9485541363262016</v>
      </c>
      <c r="H15">
        <f t="shared" si="2"/>
        <v>18.025846198526853</v>
      </c>
      <c r="I15" s="1">
        <f t="shared" si="3"/>
        <v>4.1615945053615029</v>
      </c>
    </row>
    <row r="16" spans="1:9">
      <c r="D16">
        <v>14</v>
      </c>
      <c r="E16" s="1">
        <f t="shared" si="4"/>
        <v>0.24434609527920614</v>
      </c>
      <c r="F16" s="1">
        <f t="shared" si="0"/>
        <v>16.902077795709257</v>
      </c>
      <c r="G16" s="1">
        <f t="shared" si="1"/>
        <v>-4.2347348181110238</v>
      </c>
      <c r="H16">
        <f t="shared" si="2"/>
        <v>17.950470936105933</v>
      </c>
      <c r="I16" s="1">
        <f t="shared" si="3"/>
        <v>4.4755550685938532</v>
      </c>
    </row>
    <row r="17" spans="4:9">
      <c r="D17">
        <v>15</v>
      </c>
      <c r="E17" s="1">
        <f t="shared" si="4"/>
        <v>0.26179938779914941</v>
      </c>
      <c r="F17" s="1">
        <f t="shared" si="0"/>
        <v>16.747107301356394</v>
      </c>
      <c r="G17" s="1">
        <f t="shared" si="1"/>
        <v>-4.4848072768714946</v>
      </c>
      <c r="H17">
        <f t="shared" si="2"/>
        <v>17.869627786347763</v>
      </c>
      <c r="I17" s="1">
        <f t="shared" si="3"/>
        <v>4.7881523343966332</v>
      </c>
    </row>
    <row r="18" spans="4:9">
      <c r="D18">
        <v>16</v>
      </c>
      <c r="E18" s="1">
        <f t="shared" si="4"/>
        <v>0.27925268031909273</v>
      </c>
      <c r="F18" s="1">
        <f t="shared" si="0"/>
        <v>16.577023422127446</v>
      </c>
      <c r="G18" s="1">
        <f t="shared" si="1"/>
        <v>-4.6902386506266396</v>
      </c>
      <c r="H18">
        <f t="shared" si="2"/>
        <v>17.7833413748589</v>
      </c>
      <c r="I18" s="1">
        <f t="shared" si="3"/>
        <v>5.0992910826144842</v>
      </c>
    </row>
    <row r="19" spans="4:9">
      <c r="D19">
        <v>17</v>
      </c>
      <c r="E19" s="1">
        <f t="shared" si="4"/>
        <v>0.29670597283903605</v>
      </c>
      <c r="F19" s="1">
        <f t="shared" si="0"/>
        <v>16.406728248745669</v>
      </c>
      <c r="G19" s="1">
        <f t="shared" si="1"/>
        <v>-4.8470260633010112</v>
      </c>
      <c r="H19">
        <f t="shared" si="2"/>
        <v>17.691637985316156</v>
      </c>
      <c r="I19" s="1">
        <f t="shared" si="3"/>
        <v>5.40887653737063</v>
      </c>
    </row>
    <row r="20" spans="4:9">
      <c r="D20">
        <v>18</v>
      </c>
      <c r="E20" s="1">
        <f t="shared" si="4"/>
        <v>0.31415926535897931</v>
      </c>
      <c r="F20" s="1">
        <f t="shared" si="0"/>
        <v>16.251128437750978</v>
      </c>
      <c r="G20" s="1">
        <f t="shared" si="1"/>
        <v>-4.9561418468942495</v>
      </c>
      <c r="H20">
        <f t="shared" si="2"/>
        <v>17.594545551460339</v>
      </c>
      <c r="I20" s="1">
        <f t="shared" si="3"/>
        <v>5.7168143959365265</v>
      </c>
    </row>
    <row r="21" spans="4:9">
      <c r="D21">
        <v>19</v>
      </c>
      <c r="E21" s="1">
        <f t="shared" si="4"/>
        <v>0.33161255787892263</v>
      </c>
      <c r="F21" s="1">
        <f t="shared" si="0"/>
        <v>16.122782877361665</v>
      </c>
      <c r="G21" s="1">
        <f t="shared" si="1"/>
        <v>-5.0234672750334841</v>
      </c>
      <c r="H21">
        <f t="shared" si="2"/>
        <v>17.49209364858736</v>
      </c>
      <c r="I21" s="1">
        <f t="shared" si="3"/>
        <v>6.0230108574573986</v>
      </c>
    </row>
    <row r="22" spans="4:9">
      <c r="D22">
        <v>20</v>
      </c>
      <c r="E22" s="1">
        <f t="shared" si="4"/>
        <v>0.3490658503988659</v>
      </c>
      <c r="F22" s="1">
        <f t="shared" si="0"/>
        <v>16.028392422085659</v>
      </c>
      <c r="G22" s="1">
        <f t="shared" si="1"/>
        <v>-5.0591276675693493</v>
      </c>
      <c r="H22">
        <f t="shared" si="2"/>
        <v>17.384313484539305</v>
      </c>
      <c r="I22" s="1">
        <f t="shared" si="3"/>
        <v>6.3273726515248709</v>
      </c>
    </row>
    <row r="23" spans="4:9">
      <c r="D23">
        <v>21</v>
      </c>
      <c r="E23" s="1">
        <f t="shared" si="4"/>
        <v>0.36651914291880922</v>
      </c>
      <c r="F23" s="1">
        <f t="shared" si="0"/>
        <v>15.961588126164591</v>
      </c>
      <c r="G23" s="1">
        <f t="shared" si="1"/>
        <v>-5.0761607423693329</v>
      </c>
      <c r="H23">
        <f t="shared" si="2"/>
        <v>17.271237890198233</v>
      </c>
      <c r="I23" s="1">
        <f t="shared" si="3"/>
        <v>6.6298070665880546</v>
      </c>
    </row>
    <row r="24" spans="4:9">
      <c r="D24">
        <v>22</v>
      </c>
      <c r="E24" s="1">
        <f t="shared" si="4"/>
        <v>0.38397243543875248</v>
      </c>
      <c r="F24" s="1">
        <f t="shared" si="0"/>
        <v>15.879690822446818</v>
      </c>
      <c r="G24" s="1">
        <f t="shared" si="1"/>
        <v>-5.0895103380828406</v>
      </c>
      <c r="H24">
        <f t="shared" si="2"/>
        <v>17.152901309485568</v>
      </c>
      <c r="I24" s="1">
        <f t="shared" si="3"/>
        <v>6.9302219781943721</v>
      </c>
    </row>
    <row r="25" spans="4:9">
      <c r="D25">
        <v>23</v>
      </c>
      <c r="E25" s="1">
        <f t="shared" si="4"/>
        <v>0.4014257279586958</v>
      </c>
      <c r="F25" s="1">
        <f t="shared" si="0"/>
        <v>15.577982667159255</v>
      </c>
      <c r="G25" s="1">
        <f t="shared" si="1"/>
        <v>-5.1432292226571716</v>
      </c>
      <c r="H25">
        <f t="shared" si="2"/>
        <v>17.029339788870146</v>
      </c>
      <c r="I25" s="1">
        <f t="shared" si="3"/>
        <v>7.228525877051565</v>
      </c>
    </row>
    <row r="26" spans="4:9">
      <c r="D26">
        <v>24</v>
      </c>
      <c r="E26" s="1">
        <f t="shared" si="4"/>
        <v>0.41887902047863912</v>
      </c>
      <c r="F26" s="1">
        <f t="shared" si="0"/>
        <v>14.159954593460311</v>
      </c>
      <c r="G26" s="1">
        <f t="shared" si="1"/>
        <v>-6.3044179676749108</v>
      </c>
      <c r="H26">
        <f t="shared" si="2"/>
        <v>16.900590966388116</v>
      </c>
      <c r="I26" s="1">
        <f t="shared" si="3"/>
        <v>7.5246278969023042</v>
      </c>
    </row>
    <row r="27" spans="4:9">
      <c r="D27">
        <v>25</v>
      </c>
      <c r="E27" s="1">
        <f t="shared" si="4"/>
        <v>0.43633231299858238</v>
      </c>
      <c r="F27" s="1">
        <f t="shared" si="0"/>
        <v>14.245869170985852</v>
      </c>
      <c r="G27" s="1">
        <f t="shared" si="1"/>
        <v>-8.1352051220767443</v>
      </c>
      <c r="H27">
        <f t="shared" si="2"/>
        <v>16.766694060178025</v>
      </c>
      <c r="I27" s="1">
        <f t="shared" si="3"/>
        <v>7.8184378422029397</v>
      </c>
    </row>
    <row r="28" spans="4:9">
      <c r="D28">
        <v>26</v>
      </c>
      <c r="E28" s="1">
        <f t="shared" si="4"/>
        <v>0.4537856055185257</v>
      </c>
      <c r="F28" s="1">
        <f t="shared" si="0"/>
        <v>14.407830420775005</v>
      </c>
      <c r="G28" s="1">
        <f t="shared" si="1"/>
        <v>-8.3953629262911722</v>
      </c>
      <c r="H28">
        <f t="shared" si="2"/>
        <v>16.627689856534591</v>
      </c>
      <c r="I28" s="1">
        <f t="shared" si="3"/>
        <v>8.1098662155979326</v>
      </c>
    </row>
    <row r="29" spans="4:9">
      <c r="D29">
        <v>27</v>
      </c>
      <c r="E29" s="1">
        <f t="shared" si="4"/>
        <v>0.47123889803846897</v>
      </c>
      <c r="F29" s="1">
        <f t="shared" si="0"/>
        <v>14.452709730294123</v>
      </c>
      <c r="G29" s="1">
        <f t="shared" si="1"/>
        <v>-8.465157106844007</v>
      </c>
      <c r="H29">
        <f t="shared" si="2"/>
        <v>16.483620697484806</v>
      </c>
      <c r="I29" s="1">
        <f t="shared" si="3"/>
        <v>8.3988242451816149</v>
      </c>
    </row>
    <row r="30" spans="4:9">
      <c r="D30">
        <v>28</v>
      </c>
      <c r="E30" s="1">
        <f t="shared" si="4"/>
        <v>0.48869219055841229</v>
      </c>
      <c r="F30" s="1">
        <f t="shared" si="0"/>
        <v>14.484752487931589</v>
      </c>
      <c r="G30" s="1">
        <f t="shared" si="1"/>
        <v>-8.5261997253464834</v>
      </c>
      <c r="H30">
        <f t="shared" si="2"/>
        <v>16.334530467890151</v>
      </c>
      <c r="I30" s="1">
        <f t="shared" si="3"/>
        <v>8.68522391153898</v>
      </c>
    </row>
    <row r="31" spans="4:9">
      <c r="D31">
        <v>29</v>
      </c>
      <c r="E31" s="1">
        <f t="shared" si="4"/>
        <v>0.50614548307835561</v>
      </c>
      <c r="F31" s="1">
        <f t="shared" si="0"/>
        <v>14.521411194317386</v>
      </c>
      <c r="G31" s="1">
        <f t="shared" si="1"/>
        <v>-8.62020696383982</v>
      </c>
      <c r="H31">
        <f t="shared" si="2"/>
        <v>16.18046458207882</v>
      </c>
      <c r="I31" s="1">
        <f t="shared" si="3"/>
        <v>8.9689779745572356</v>
      </c>
    </row>
    <row r="32" spans="4:9">
      <c r="D32">
        <v>30</v>
      </c>
      <c r="E32" s="1">
        <f t="shared" si="4"/>
        <v>0.52359877559829882</v>
      </c>
      <c r="F32" s="1">
        <f t="shared" si="0"/>
        <v>14.557258593419437</v>
      </c>
      <c r="G32" s="1">
        <f t="shared" si="1"/>
        <v>-8.7606358074703081</v>
      </c>
      <c r="H32">
        <f t="shared" si="2"/>
        <v>16.021469970012117</v>
      </c>
      <c r="I32" s="1">
        <f t="shared" si="3"/>
        <v>9.2499999999999982</v>
      </c>
    </row>
    <row r="33" spans="4:9">
      <c r="D33">
        <v>31</v>
      </c>
      <c r="E33" s="1">
        <f t="shared" si="4"/>
        <v>0.54105206811824214</v>
      </c>
      <c r="F33" s="1">
        <f t="shared" si="0"/>
        <v>14.580286359344409</v>
      </c>
      <c r="G33" s="1">
        <f t="shared" si="1"/>
        <v>-8.9492817122953401</v>
      </c>
      <c r="H33">
        <f t="shared" si="2"/>
        <v>15.857595062989079</v>
      </c>
      <c r="I33" s="1">
        <f t="shared" si="3"/>
        <v>9.5282043858360019</v>
      </c>
    </row>
    <row r="34" spans="4:9">
      <c r="D34">
        <v>32</v>
      </c>
      <c r="E34" s="1">
        <f t="shared" si="4"/>
        <v>0.55850536063818546</v>
      </c>
      <c r="F34" s="1">
        <f t="shared" si="0"/>
        <v>14.577720317540395</v>
      </c>
      <c r="G34" s="1">
        <f t="shared" si="1"/>
        <v>-9.1807469457100215</v>
      </c>
      <c r="H34">
        <f t="shared" si="2"/>
        <v>15.688889778893881</v>
      </c>
      <c r="I34" s="1">
        <f t="shared" si="3"/>
        <v>9.8035063883142914</v>
      </c>
    </row>
    <row r="35" spans="4:9">
      <c r="D35">
        <v>33</v>
      </c>
      <c r="E35" s="1">
        <f t="shared" si="4"/>
        <v>0.57595865315812877</v>
      </c>
      <c r="F35" s="1">
        <f t="shared" si="0"/>
        <v>14.53886338438388</v>
      </c>
      <c r="G35" s="1">
        <f t="shared" si="1"/>
        <v>-9.4446043201420498</v>
      </c>
      <c r="H35">
        <f t="shared" si="2"/>
        <v>15.515405506990344</v>
      </c>
      <c r="I35" s="1">
        <f t="shared" si="3"/>
        <v>10.075822147778002</v>
      </c>
    </row>
    <row r="36" spans="4:9">
      <c r="D36">
        <v>34</v>
      </c>
      <c r="E36" s="1">
        <f t="shared" si="4"/>
        <v>0.59341194567807209</v>
      </c>
      <c r="F36" s="1">
        <f t="shared" si="0"/>
        <v>14.456718831515689</v>
      </c>
      <c r="G36" s="1">
        <f t="shared" si="1"/>
        <v>-9.7271009770860992</v>
      </c>
      <c r="H36">
        <f t="shared" si="2"/>
        <v>15.337195092268271</v>
      </c>
      <c r="I36" s="1">
        <f t="shared" si="3"/>
        <v>10.345068714208818</v>
      </c>
    </row>
    <row r="37" spans="4:9">
      <c r="D37">
        <v>35</v>
      </c>
      <c r="E37" s="1">
        <f t="shared" si="4"/>
        <v>0.6108652381980153</v>
      </c>
      <c r="F37" s="1">
        <f t="shared" si="0"/>
        <v>14.328874293099519</v>
      </c>
      <c r="G37" s="1">
        <f t="shared" si="1"/>
        <v>-10.012805550720216</v>
      </c>
      <c r="H37">
        <f t="shared" si="2"/>
        <v>15.154312819346348</v>
      </c>
      <c r="I37" s="1">
        <f t="shared" si="3"/>
        <v>10.611164072494352</v>
      </c>
    </row>
    <row r="38" spans="4:9">
      <c r="D38">
        <v>36</v>
      </c>
      <c r="E38" s="1">
        <f t="shared" si="4"/>
        <v>0.62831853071795862</v>
      </c>
      <c r="F38" s="1">
        <f t="shared" si="0"/>
        <v>14.157797401561581</v>
      </c>
      <c r="G38" s="1">
        <f t="shared" si="1"/>
        <v>-10.286241915118282</v>
      </c>
      <c r="H38">
        <f t="shared" si="2"/>
        <v>14.966814395936527</v>
      </c>
      <c r="I38" s="1">
        <f t="shared" si="3"/>
        <v>10.874027167410754</v>
      </c>
    </row>
    <row r="39" spans="4:9">
      <c r="D39">
        <v>37</v>
      </c>
      <c r="E39" s="1">
        <f t="shared" si="4"/>
        <v>0.64577182323790194</v>
      </c>
      <c r="F39" s="1">
        <f t="shared" si="0"/>
        <v>13.950609632238809</v>
      </c>
      <c r="G39" s="1">
        <f t="shared" si="1"/>
        <v>-10.533442191082056</v>
      </c>
      <c r="H39">
        <f t="shared" si="2"/>
        <v>14.774756935874917</v>
      </c>
      <c r="I39" s="1">
        <f t="shared" si="3"/>
        <v>11.133577928312892</v>
      </c>
    </row>
    <row r="40" spans="4:9">
      <c r="D40">
        <v>38</v>
      </c>
      <c r="E40" s="1">
        <f t="shared" si="4"/>
        <v>0.66322511575784526</v>
      </c>
      <c r="F40" s="1">
        <f t="shared" si="0"/>
        <v>13.718394570757368</v>
      </c>
      <c r="G40" s="1">
        <f t="shared" si="1"/>
        <v>-10.743317141039096</v>
      </c>
      <c r="H40">
        <f t="shared" si="2"/>
        <v>14.578198941724356</v>
      </c>
      <c r="I40" s="1">
        <f t="shared" si="3"/>
        <v>11.389737293524679</v>
      </c>
    </row>
    <row r="41" spans="4:9">
      <c r="D41">
        <v>39</v>
      </c>
      <c r="E41" s="1">
        <f t="shared" si="4"/>
        <v>0.68067840827778847</v>
      </c>
      <c r="F41" s="1">
        <f t="shared" si="0"/>
        <v>13.475108347170737</v>
      </c>
      <c r="G41" s="1">
        <f t="shared" si="1"/>
        <v>-10.908737521172361</v>
      </c>
      <c r="H41">
        <f t="shared" si="2"/>
        <v>14.377200286953961</v>
      </c>
      <c r="I41" s="1">
        <f t="shared" si="3"/>
        <v>11.642427234421993</v>
      </c>
    </row>
    <row r="42" spans="4:9">
      <c r="D42">
        <v>40</v>
      </c>
      <c r="E42" s="1">
        <f t="shared" si="4"/>
        <v>0.69813170079773179</v>
      </c>
      <c r="F42" s="1">
        <f t="shared" si="0"/>
        <v>13.236172524539281</v>
      </c>
      <c r="G42" s="1">
        <f t="shared" si="1"/>
        <v>-11.027229073444758</v>
      </c>
      <c r="H42">
        <f t="shared" si="2"/>
        <v>14.171822197701093</v>
      </c>
      <c r="I42" s="1">
        <f t="shared" si="3"/>
        <v>11.891570779200975</v>
      </c>
    </row>
    <row r="43" spans="4:9">
      <c r="D43">
        <v>41</v>
      </c>
      <c r="E43" s="1">
        <f t="shared" si="4"/>
        <v>0.71558499331767511</v>
      </c>
      <c r="F43" s="1">
        <f t="shared" si="0"/>
        <v>13.016828956530189</v>
      </c>
      <c r="G43" s="1">
        <f t="shared" si="1"/>
        <v>-11.101196214955653</v>
      </c>
      <c r="H43">
        <f t="shared" si="2"/>
        <v>13.962127234121283</v>
      </c>
      <c r="I43" s="1">
        <f t="shared" si="3"/>
        <v>12.137092036324384</v>
      </c>
    </row>
    <row r="44" spans="4:9">
      <c r="D44">
        <v>42</v>
      </c>
      <c r="E44" s="1">
        <f t="shared" si="4"/>
        <v>0.73303828583761843</v>
      </c>
      <c r="F44" s="1">
        <f t="shared" si="0"/>
        <v>12.830300068460639</v>
      </c>
      <c r="G44" s="1">
        <f t="shared" si="1"/>
        <v>-11.137590298627162</v>
      </c>
      <c r="H44">
        <f t="shared" si="2"/>
        <v>13.748179271331793</v>
      </c>
      <c r="I44" s="1">
        <f t="shared" si="3"/>
        <v>12.378916217638878</v>
      </c>
    </row>
    <row r="45" spans="4:9">
      <c r="D45">
        <v>43</v>
      </c>
      <c r="E45" s="1">
        <f t="shared" si="4"/>
        <v>0.75049157835756175</v>
      </c>
      <c r="F45" s="1">
        <f t="shared" si="0"/>
        <v>12.685666846123397</v>
      </c>
      <c r="G45" s="1">
        <f t="shared" si="1"/>
        <v>-11.146892295301166</v>
      </c>
      <c r="H45">
        <f t="shared" si="2"/>
        <v>13.530043479954653</v>
      </c>
      <c r="I45" s="1">
        <f t="shared" si="3"/>
        <v>12.616969661156222</v>
      </c>
    </row>
    <row r="46" spans="4:9">
      <c r="D46">
        <v>44</v>
      </c>
      <c r="E46" s="1">
        <f t="shared" si="4"/>
        <v>0.76794487087750496</v>
      </c>
      <c r="F46" s="1">
        <f t="shared" si="0"/>
        <v>12.584932486110382</v>
      </c>
      <c r="G46" s="1">
        <f t="shared" si="1"/>
        <v>-11.141077628002702</v>
      </c>
      <c r="H46">
        <f t="shared" si="2"/>
        <v>13.307786306265047</v>
      </c>
      <c r="I46" s="1">
        <f t="shared" si="3"/>
        <v>12.851179853491448</v>
      </c>
    </row>
    <row r="47" spans="4:9">
      <c r="D47">
        <v>45</v>
      </c>
      <c r="E47" s="1">
        <f t="shared" si="4"/>
        <v>0.78539816339744828</v>
      </c>
      <c r="F47" s="1">
        <f t="shared" si="0"/>
        <v>12.516975749355272</v>
      </c>
      <c r="G47" s="1">
        <f t="shared" si="1"/>
        <v>-11.129466361049934</v>
      </c>
      <c r="H47">
        <f t="shared" si="2"/>
        <v>13.08147545195113</v>
      </c>
      <c r="I47" s="1">
        <f t="shared" si="3"/>
        <v>13.081475451951128</v>
      </c>
    </row>
    <row r="48" spans="4:9">
      <c r="D48">
        <v>46</v>
      </c>
      <c r="E48" s="1">
        <f t="shared" si="4"/>
        <v>0.8028514559173916</v>
      </c>
      <c r="F48" s="1">
        <f t="shared" si="0"/>
        <v>12.436729069803791</v>
      </c>
      <c r="G48" s="1">
        <f t="shared" si="1"/>
        <v>-11.108351189184249</v>
      </c>
      <c r="H48">
        <f t="shared" si="2"/>
        <v>12.851179853491448</v>
      </c>
      <c r="I48" s="1">
        <f t="shared" si="3"/>
        <v>13.307786306265045</v>
      </c>
    </row>
    <row r="49" spans="4:9">
      <c r="D49">
        <v>47</v>
      </c>
      <c r="E49" s="1">
        <f t="shared" si="4"/>
        <v>0.82030474843733492</v>
      </c>
      <c r="F49" s="1">
        <f t="shared" si="0"/>
        <v>12.139255516225571</v>
      </c>
      <c r="G49" s="1">
        <f t="shared" si="1"/>
        <v>-11.034710069906499</v>
      </c>
      <c r="H49">
        <f t="shared" si="2"/>
        <v>12.616969661156222</v>
      </c>
      <c r="I49" s="1">
        <f t="shared" si="3"/>
        <v>13.530043479954653</v>
      </c>
    </row>
    <row r="50" spans="4:9">
      <c r="D50">
        <v>48</v>
      </c>
      <c r="E50" s="1">
        <f t="shared" si="4"/>
        <v>0.83775804095727824</v>
      </c>
      <c r="F50" s="1">
        <f t="shared" si="0"/>
        <v>10.371524398562292</v>
      </c>
      <c r="G50" s="1">
        <f t="shared" si="1"/>
        <v>-11.518744794899622</v>
      </c>
      <c r="H50">
        <f t="shared" si="2"/>
        <v>12.378916217638878</v>
      </c>
      <c r="I50" s="1">
        <f t="shared" si="3"/>
        <v>13.748179271331793</v>
      </c>
    </row>
    <row r="51" spans="4:9">
      <c r="D51">
        <v>49</v>
      </c>
      <c r="E51" s="1">
        <f t="shared" si="4"/>
        <v>0.85521133347722145</v>
      </c>
      <c r="F51" s="1">
        <f t="shared" si="0"/>
        <v>9.705363049238338</v>
      </c>
      <c r="G51" s="1">
        <f t="shared" si="1"/>
        <v>-13.22619669056785</v>
      </c>
      <c r="H51">
        <f t="shared" si="2"/>
        <v>12.137092036324384</v>
      </c>
      <c r="I51" s="1">
        <f t="shared" si="3"/>
        <v>13.962127234121283</v>
      </c>
    </row>
    <row r="52" spans="4:9">
      <c r="D52">
        <v>50</v>
      </c>
      <c r="E52" s="1">
        <f t="shared" si="4"/>
        <v>0.87266462599716477</v>
      </c>
      <c r="F52" s="1">
        <f t="shared" si="0"/>
        <v>9.7475063013411898</v>
      </c>
      <c r="G52" s="1">
        <f t="shared" si="1"/>
        <v>-13.529738245925811</v>
      </c>
      <c r="H52">
        <f t="shared" si="2"/>
        <v>11.891570779200979</v>
      </c>
      <c r="I52" s="1">
        <f t="shared" si="3"/>
        <v>14.171822197701093</v>
      </c>
    </row>
    <row r="53" spans="4:9">
      <c r="D53">
        <v>51</v>
      </c>
      <c r="E53" s="1">
        <f t="shared" si="4"/>
        <v>0.89011791851710809</v>
      </c>
      <c r="F53" s="1">
        <f t="shared" si="0"/>
        <v>9.7601177399902319</v>
      </c>
      <c r="G53" s="1">
        <f t="shared" si="1"/>
        <v>-13.61175246223711</v>
      </c>
      <c r="H53">
        <f t="shared" si="2"/>
        <v>11.642427234421994</v>
      </c>
      <c r="I53" s="1">
        <f t="shared" si="3"/>
        <v>14.377200286953961</v>
      </c>
    </row>
    <row r="54" spans="4:9">
      <c r="D54">
        <v>52</v>
      </c>
      <c r="E54" s="1">
        <f t="shared" si="4"/>
        <v>0.90757121103705141</v>
      </c>
      <c r="F54" s="1">
        <f t="shared" si="0"/>
        <v>9.7645619859460258</v>
      </c>
      <c r="G54" s="1">
        <f t="shared" si="1"/>
        <v>-13.680550632769011</v>
      </c>
      <c r="H54">
        <f t="shared" si="2"/>
        <v>11.389737293524679</v>
      </c>
      <c r="I54" s="1">
        <f t="shared" si="3"/>
        <v>14.578198941724358</v>
      </c>
    </row>
    <row r="55" spans="4:9">
      <c r="D55">
        <v>53</v>
      </c>
      <c r="E55" s="1">
        <f t="shared" si="4"/>
        <v>0.92502450355699462</v>
      </c>
      <c r="F55" s="1">
        <f t="shared" si="0"/>
        <v>9.7598151920382232</v>
      </c>
      <c r="G55" s="1">
        <f t="shared" si="1"/>
        <v>-13.781340957654983</v>
      </c>
      <c r="H55">
        <f t="shared" si="2"/>
        <v>11.133577928312896</v>
      </c>
      <c r="I55" s="1">
        <f t="shared" si="3"/>
        <v>14.774756935874917</v>
      </c>
    </row>
    <row r="56" spans="4:9">
      <c r="D56">
        <v>54</v>
      </c>
      <c r="E56" s="1">
        <f t="shared" si="4"/>
        <v>0.94247779607693793</v>
      </c>
      <c r="F56" s="1">
        <f t="shared" si="0"/>
        <v>9.7354458642069162</v>
      </c>
      <c r="G56" s="1">
        <f t="shared" si="1"/>
        <v>-13.924209540649388</v>
      </c>
      <c r="H56">
        <f t="shared" si="2"/>
        <v>10.874027167410754</v>
      </c>
      <c r="I56" s="1">
        <f t="shared" si="3"/>
        <v>14.966814395936527</v>
      </c>
    </row>
    <row r="57" spans="4:9">
      <c r="D57">
        <v>55</v>
      </c>
      <c r="E57" s="1">
        <f t="shared" si="4"/>
        <v>0.95993108859688125</v>
      </c>
      <c r="F57" s="1">
        <f t="shared" si="0"/>
        <v>9.6797535731088047</v>
      </c>
      <c r="G57" s="1">
        <f t="shared" si="1"/>
        <v>-14.10591238631503</v>
      </c>
      <c r="H57">
        <f t="shared" si="2"/>
        <v>10.611164072494354</v>
      </c>
      <c r="I57" s="1">
        <f t="shared" si="3"/>
        <v>15.154312819346348</v>
      </c>
    </row>
    <row r="58" spans="4:9">
      <c r="D58">
        <v>56</v>
      </c>
      <c r="E58" s="1">
        <f t="shared" si="4"/>
        <v>0.97738438111682457</v>
      </c>
      <c r="F58" s="1">
        <f t="shared" si="0"/>
        <v>9.5832639852467825</v>
      </c>
      <c r="G58" s="1">
        <f t="shared" si="1"/>
        <v>-14.316322695673842</v>
      </c>
      <c r="H58">
        <f t="shared" si="2"/>
        <v>10.345068714208816</v>
      </c>
      <c r="I58" s="1">
        <f t="shared" si="3"/>
        <v>15.337195092268272</v>
      </c>
    </row>
    <row r="59" spans="4:9">
      <c r="D59">
        <v>57</v>
      </c>
      <c r="E59" s="1">
        <f t="shared" si="4"/>
        <v>0.99483767363676789</v>
      </c>
      <c r="F59" s="1">
        <f t="shared" si="0"/>
        <v>9.4404459477364497</v>
      </c>
      <c r="G59" s="1">
        <f t="shared" si="1"/>
        <v>-14.541563862999421</v>
      </c>
      <c r="H59">
        <f t="shared" si="2"/>
        <v>10.075822147778002</v>
      </c>
      <c r="I59" s="1">
        <f t="shared" si="3"/>
        <v>15.515405506990344</v>
      </c>
    </row>
    <row r="60" spans="4:9">
      <c r="D60">
        <v>58</v>
      </c>
      <c r="E60" s="1">
        <f t="shared" si="4"/>
        <v>1.0122909661567112</v>
      </c>
      <c r="F60" s="1">
        <f t="shared" si="0"/>
        <v>9.2505014226680711</v>
      </c>
      <c r="G60" s="1">
        <f t="shared" si="1"/>
        <v>-14.766226201069305</v>
      </c>
      <c r="H60">
        <f t="shared" si="2"/>
        <v>9.8035063883142914</v>
      </c>
      <c r="I60" s="1">
        <f t="shared" si="3"/>
        <v>15.688889778893881</v>
      </c>
    </row>
    <row r="61" spans="4:9">
      <c r="D61">
        <v>59</v>
      </c>
      <c r="E61" s="1">
        <f t="shared" si="4"/>
        <v>1.0297442586766545</v>
      </c>
      <c r="F61" s="1">
        <f t="shared" si="0"/>
        <v>9.0175031061222182</v>
      </c>
      <c r="G61" s="1">
        <f t="shared" si="1"/>
        <v>-14.975231258149506</v>
      </c>
      <c r="H61">
        <f t="shared" si="2"/>
        <v>9.5282043858360019</v>
      </c>
      <c r="I61" s="1">
        <f t="shared" si="3"/>
        <v>15.857595062989079</v>
      </c>
    </row>
    <row r="62" spans="4:9">
      <c r="D62">
        <v>60</v>
      </c>
      <c r="E62" s="1">
        <f t="shared" si="4"/>
        <v>1.0471975511965976</v>
      </c>
      <c r="F62" s="1">
        <f t="shared" si="0"/>
        <v>8.7500000000000018</v>
      </c>
      <c r="G62" s="1">
        <f t="shared" si="1"/>
        <v>-15.155444566227674</v>
      </c>
      <c r="H62">
        <f t="shared" si="2"/>
        <v>9.2500000000000018</v>
      </c>
      <c r="I62" s="1">
        <f t="shared" si="3"/>
        <v>16.021469970012113</v>
      </c>
    </row>
    <row r="63" spans="4:9">
      <c r="D63">
        <v>61</v>
      </c>
      <c r="E63" s="1">
        <f t="shared" si="4"/>
        <v>1.064650843716541</v>
      </c>
      <c r="F63" s="1">
        <f t="shared" si="0"/>
        <v>8.4601791440431651</v>
      </c>
      <c r="G63" s="1">
        <f t="shared" si="1"/>
        <v>-15.297002397681673</v>
      </c>
      <c r="H63">
        <f t="shared" si="2"/>
        <v>8.9689779745572373</v>
      </c>
      <c r="I63" s="1">
        <f t="shared" si="3"/>
        <v>16.18046458207882</v>
      </c>
    </row>
    <row r="64" spans="4:9">
      <c r="D64">
        <v>62</v>
      </c>
      <c r="E64" s="1">
        <f t="shared" si="4"/>
        <v>1.0821041362364843</v>
      </c>
      <c r="F64" s="1">
        <f t="shared" si="0"/>
        <v>8.1626762968193685</v>
      </c>
      <c r="G64" s="1">
        <f t="shared" si="1"/>
        <v>-15.394282330309291</v>
      </c>
      <c r="H64">
        <f t="shared" si="2"/>
        <v>8.6852239115389818</v>
      </c>
      <c r="I64" s="1">
        <f t="shared" si="3"/>
        <v>16.334530467890147</v>
      </c>
    </row>
    <row r="65" spans="4:9">
      <c r="D65">
        <v>63</v>
      </c>
      <c r="E65" s="1">
        <f t="shared" si="4"/>
        <v>1.0995574287564276</v>
      </c>
      <c r="F65" s="1">
        <f t="shared" si="0"/>
        <v>7.8731407422430539</v>
      </c>
      <c r="G65" s="1">
        <f t="shared" si="1"/>
        <v>-15.446447945293333</v>
      </c>
      <c r="H65">
        <f t="shared" si="2"/>
        <v>8.3988242451816166</v>
      </c>
      <c r="I65" s="1">
        <f t="shared" si="3"/>
        <v>16.483620697484803</v>
      </c>
    </row>
    <row r="66" spans="4:9">
      <c r="D66">
        <v>64</v>
      </c>
      <c r="E66" s="1">
        <f t="shared" si="4"/>
        <v>1.1170107212763709</v>
      </c>
      <c r="F66" s="1">
        <f t="shared" ref="F66:F129" si="5">($B$1*COS(E66)) - ($B$3*COS(E66 + ATAN(SIN((1-$B$4)*E66) / (($B$1/($B$2*$B$4)) - COS((1-$B$4)*E66))))) - ($B$2*COS($B$4*E66))</f>
        <v>7.606667150605869</v>
      </c>
      <c r="G66" s="1">
        <f t="shared" ref="G66:G129" si="6">(-$B$1*SIN(E66)) + ($B$3*SIN(E66 + ATAN(SIN((1-$B$4)*E66) / (($B$1/($B$2*$B$4)) - COS((1-$B$4)*E66))))) + ($B$2*SIN($B$4*E66))</f>
        <v>-15.457511410233135</v>
      </c>
      <c r="H66">
        <f t="shared" ref="H66:H129" si="7">$B$1*COS(E66)</f>
        <v>8.1098662155979326</v>
      </c>
      <c r="I66" s="1">
        <f t="shared" ref="I66:I129" si="8">$B$1*SIN(E66)</f>
        <v>16.627689856534591</v>
      </c>
    </row>
    <row r="67" spans="4:9">
      <c r="D67">
        <v>65</v>
      </c>
      <c r="E67" s="1">
        <f t="shared" ref="E67:E130" si="9">RADIANS(D67)</f>
        <v>1.1344640137963142</v>
      </c>
      <c r="F67" s="1">
        <f t="shared" si="5"/>
        <v>7.3762016835519857</v>
      </c>
      <c r="G67" s="1">
        <f t="shared" si="6"/>
        <v>-15.43586868984293</v>
      </c>
      <c r="H67">
        <f t="shared" si="7"/>
        <v>7.8184378422029397</v>
      </c>
      <c r="I67" s="1">
        <f t="shared" si="8"/>
        <v>16.766694060178025</v>
      </c>
    </row>
    <row r="68" spans="4:9">
      <c r="D68">
        <v>66</v>
      </c>
      <c r="E68" s="1">
        <f t="shared" si="9"/>
        <v>1.1519173063162575</v>
      </c>
      <c r="F68" s="1">
        <f t="shared" si="5"/>
        <v>7.1909962577165603</v>
      </c>
      <c r="G68" s="1">
        <f t="shared" si="6"/>
        <v>-15.393248205896031</v>
      </c>
      <c r="H68">
        <f t="shared" si="7"/>
        <v>7.5246278969023042</v>
      </c>
      <c r="I68" s="1">
        <f t="shared" si="8"/>
        <v>16.900590966388116</v>
      </c>
    </row>
    <row r="69" spans="4:9">
      <c r="D69">
        <v>67</v>
      </c>
      <c r="E69" s="1">
        <f t="shared" si="9"/>
        <v>1.1693705988362009</v>
      </c>
      <c r="F69" s="1">
        <f t="shared" si="5"/>
        <v>7.0550837715250685</v>
      </c>
      <c r="G69" s="1">
        <f t="shared" si="6"/>
        <v>-15.342918371373891</v>
      </c>
      <c r="H69">
        <f t="shared" si="7"/>
        <v>7.2285258770515641</v>
      </c>
      <c r="I69" s="1">
        <f t="shared" si="8"/>
        <v>17.029339788870146</v>
      </c>
    </row>
    <row r="70" spans="4:9">
      <c r="D70">
        <v>68</v>
      </c>
      <c r="E70" s="1">
        <f t="shared" si="9"/>
        <v>1.1868238913561442</v>
      </c>
      <c r="F70" s="1">
        <f t="shared" si="5"/>
        <v>6.9654233927642251</v>
      </c>
      <c r="G70" s="1">
        <f t="shared" si="6"/>
        <v>-15.296634053041592</v>
      </c>
      <c r="H70">
        <f t="shared" si="7"/>
        <v>6.9302219781943712</v>
      </c>
      <c r="I70" s="1">
        <f t="shared" si="8"/>
        <v>17.152901309485568</v>
      </c>
    </row>
    <row r="71" spans="4:9">
      <c r="D71">
        <v>69</v>
      </c>
      <c r="E71" s="1">
        <f t="shared" si="9"/>
        <v>1.2042771838760873</v>
      </c>
      <c r="F71" s="1">
        <f t="shared" si="5"/>
        <v>6.9080645523276054</v>
      </c>
      <c r="G71" s="1">
        <f t="shared" si="6"/>
        <v>-15.258386137877258</v>
      </c>
      <c r="H71">
        <f t="shared" si="7"/>
        <v>6.6298070665880573</v>
      </c>
      <c r="I71" s="1">
        <f t="shared" si="8"/>
        <v>17.271237890198233</v>
      </c>
    </row>
    <row r="72" spans="4:9">
      <c r="D72">
        <v>70</v>
      </c>
      <c r="E72" s="1">
        <f t="shared" si="9"/>
        <v>1.2217304763960306</v>
      </c>
      <c r="F72" s="1">
        <f t="shared" si="5"/>
        <v>6.8433438768550703</v>
      </c>
      <c r="G72" s="1">
        <f t="shared" si="6"/>
        <v>-15.206457203473271</v>
      </c>
      <c r="H72">
        <f t="shared" si="7"/>
        <v>6.3273726515248736</v>
      </c>
      <c r="I72" s="1">
        <f t="shared" si="8"/>
        <v>17.384313484539305</v>
      </c>
    </row>
    <row r="73" spans="4:9">
      <c r="D73">
        <v>71</v>
      </c>
      <c r="E73" s="1">
        <f t="shared" si="9"/>
        <v>1.2391837689159739</v>
      </c>
      <c r="F73" s="1">
        <f t="shared" si="5"/>
        <v>6.6015408048622639</v>
      </c>
      <c r="G73" s="1">
        <f t="shared" si="6"/>
        <v>-15.018189298875132</v>
      </c>
      <c r="H73">
        <f t="shared" si="7"/>
        <v>6.0230108574574004</v>
      </c>
      <c r="I73" s="1">
        <f t="shared" si="8"/>
        <v>17.49209364858736</v>
      </c>
    </row>
    <row r="74" spans="4:9">
      <c r="D74">
        <v>72</v>
      </c>
      <c r="E74" s="1">
        <f t="shared" si="9"/>
        <v>1.2566370614359172</v>
      </c>
      <c r="F74" s="1">
        <f t="shared" si="5"/>
        <v>4.789763412811693</v>
      </c>
      <c r="G74" s="1">
        <f t="shared" si="6"/>
        <v>-14.741376002574874</v>
      </c>
      <c r="H74">
        <f t="shared" si="7"/>
        <v>5.7168143959365274</v>
      </c>
      <c r="I74" s="1">
        <f t="shared" si="8"/>
        <v>17.594545551460339</v>
      </c>
    </row>
    <row r="75" spans="4:9">
      <c r="D75">
        <v>73</v>
      </c>
      <c r="E75" s="1">
        <f t="shared" si="9"/>
        <v>1.2740903539558606</v>
      </c>
      <c r="F75" s="1">
        <f t="shared" si="5"/>
        <v>3.4867114858222017</v>
      </c>
      <c r="G75" s="1">
        <f t="shared" si="6"/>
        <v>-16.030258695034977</v>
      </c>
      <c r="H75">
        <f t="shared" si="7"/>
        <v>5.40887653737063</v>
      </c>
      <c r="I75" s="1">
        <f t="shared" si="8"/>
        <v>17.691637985316156</v>
      </c>
    </row>
    <row r="76" spans="4:9">
      <c r="D76">
        <v>74</v>
      </c>
      <c r="E76" s="1">
        <f t="shared" si="9"/>
        <v>1.2915436464758039</v>
      </c>
      <c r="F76" s="1">
        <f t="shared" si="5"/>
        <v>3.4017497890907418</v>
      </c>
      <c r="G76" s="1">
        <f t="shared" si="6"/>
        <v>-16.324698909026623</v>
      </c>
      <c r="H76">
        <f t="shared" si="7"/>
        <v>5.0992910826144842</v>
      </c>
      <c r="I76" s="1">
        <f t="shared" si="8"/>
        <v>17.7833413748589</v>
      </c>
    </row>
    <row r="77" spans="4:9">
      <c r="D77">
        <v>75</v>
      </c>
      <c r="E77" s="1">
        <f t="shared" si="9"/>
        <v>1.3089969389957472</v>
      </c>
      <c r="F77" s="1">
        <f t="shared" si="5"/>
        <v>3.3799127245559619</v>
      </c>
      <c r="G77" s="1">
        <f t="shared" si="6"/>
        <v>-16.404752158020393</v>
      </c>
      <c r="H77">
        <f t="shared" si="7"/>
        <v>4.7881523343966332</v>
      </c>
      <c r="I77" s="1">
        <f t="shared" si="8"/>
        <v>17.869627786347763</v>
      </c>
    </row>
    <row r="78" spans="4:9">
      <c r="D78">
        <v>76</v>
      </c>
      <c r="E78" s="1">
        <f t="shared" si="9"/>
        <v>1.3264502315156905</v>
      </c>
      <c r="F78" s="1">
        <f t="shared" si="5"/>
        <v>3.3559900083296248</v>
      </c>
      <c r="G78" s="1">
        <f t="shared" si="6"/>
        <v>-16.469410051884992</v>
      </c>
      <c r="H78">
        <f t="shared" si="7"/>
        <v>4.4755550685938523</v>
      </c>
      <c r="I78" s="1">
        <f t="shared" si="8"/>
        <v>17.950470936105933</v>
      </c>
    </row>
    <row r="79" spans="4:9">
      <c r="D79">
        <v>77</v>
      </c>
      <c r="E79" s="1">
        <f t="shared" si="9"/>
        <v>1.3439035240356338</v>
      </c>
      <c r="F79" s="1">
        <f t="shared" si="5"/>
        <v>3.3106584779181429</v>
      </c>
      <c r="G79" s="1">
        <f t="shared" si="6"/>
        <v>-16.559555900339465</v>
      </c>
      <c r="H79">
        <f t="shared" si="7"/>
        <v>4.1615945053615011</v>
      </c>
      <c r="I79" s="1">
        <f t="shared" si="8"/>
        <v>18.025846198526853</v>
      </c>
    </row>
    <row r="80" spans="4:9">
      <c r="D80">
        <v>78</v>
      </c>
      <c r="E80" s="1">
        <f t="shared" si="9"/>
        <v>1.3613568165555769</v>
      </c>
      <c r="F80" s="1">
        <f t="shared" si="5"/>
        <v>3.2302861013239128</v>
      </c>
      <c r="G80" s="1">
        <f t="shared" si="6"/>
        <v>-16.680160946777718</v>
      </c>
      <c r="H80">
        <f t="shared" si="7"/>
        <v>3.8463662801285499</v>
      </c>
      <c r="I80" s="1">
        <f t="shared" si="8"/>
        <v>18.095730613575402</v>
      </c>
    </row>
    <row r="81" spans="4:9">
      <c r="D81">
        <v>79</v>
      </c>
      <c r="E81" s="1">
        <f t="shared" si="9"/>
        <v>1.3788101090755203</v>
      </c>
      <c r="F81" s="1">
        <f t="shared" si="5"/>
        <v>3.1055034562821588</v>
      </c>
      <c r="G81" s="1">
        <f t="shared" si="6"/>
        <v>-16.823502660549853</v>
      </c>
      <c r="H81">
        <f t="shared" si="7"/>
        <v>3.5299664144660809</v>
      </c>
      <c r="I81" s="1">
        <f t="shared" si="8"/>
        <v>18.160102893781783</v>
      </c>
    </row>
    <row r="82" spans="4:9">
      <c r="D82">
        <v>80</v>
      </c>
      <c r="E82" s="1">
        <f t="shared" si="9"/>
        <v>1.3962634015954636</v>
      </c>
      <c r="F82" s="1">
        <f t="shared" si="5"/>
        <v>2.9317742486838605</v>
      </c>
      <c r="G82" s="1">
        <f t="shared" si="6"/>
        <v>-16.976476191846999</v>
      </c>
      <c r="H82">
        <f t="shared" si="7"/>
        <v>3.2124912868382127</v>
      </c>
      <c r="I82" s="1">
        <f t="shared" si="8"/>
        <v>18.218943430725847</v>
      </c>
    </row>
    <row r="83" spans="4:9">
      <c r="D83">
        <v>81</v>
      </c>
      <c r="E83" s="1">
        <f t="shared" si="9"/>
        <v>1.4137166941154069</v>
      </c>
      <c r="F83" s="1">
        <f t="shared" si="5"/>
        <v>2.709689642966381</v>
      </c>
      <c r="G83" s="1">
        <f t="shared" si="6"/>
        <v>-17.12415490798378</v>
      </c>
      <c r="H83">
        <f t="shared" si="7"/>
        <v>2.8940376032442723</v>
      </c>
      <c r="I83" s="1">
        <f t="shared" si="8"/>
        <v>18.272234301010048</v>
      </c>
    </row>
    <row r="84" spans="4:9">
      <c r="D84">
        <v>82</v>
      </c>
      <c r="E84" s="1">
        <f t="shared" si="9"/>
        <v>1.4311699866353502</v>
      </c>
      <c r="F84" s="1">
        <f t="shared" si="5"/>
        <v>2.444788279673979</v>
      </c>
      <c r="G84" s="1">
        <f t="shared" si="6"/>
        <v>-17.252136767933948</v>
      </c>
      <c r="H84">
        <f t="shared" si="7"/>
        <v>2.5747023677612111</v>
      </c>
      <c r="I84" s="1">
        <f t="shared" si="8"/>
        <v>18.319959271719053</v>
      </c>
    </row>
    <row r="85" spans="4:9">
      <c r="D85">
        <v>83</v>
      </c>
      <c r="E85" s="1">
        <f t="shared" si="9"/>
        <v>1.4486232791552935</v>
      </c>
      <c r="F85" s="1">
        <f t="shared" si="5"/>
        <v>2.146923710652477</v>
      </c>
      <c r="G85" s="1">
        <f t="shared" si="6"/>
        <v>-17.348303435339719</v>
      </c>
      <c r="H85">
        <f t="shared" si="7"/>
        <v>2.2545828529952288</v>
      </c>
      <c r="I85" s="1">
        <f t="shared" si="8"/>
        <v>18.362103805364455</v>
      </c>
    </row>
    <row r="86" spans="4:9">
      <c r="D86">
        <v>84</v>
      </c>
      <c r="E86" s="1">
        <f t="shared" si="9"/>
        <v>1.4660765716752369</v>
      </c>
      <c r="F86" s="1">
        <f t="shared" si="5"/>
        <v>1.8292481071839346</v>
      </c>
      <c r="G86" s="1">
        <f t="shared" si="6"/>
        <v>-17.404133168944782</v>
      </c>
      <c r="H86">
        <f t="shared" si="7"/>
        <v>1.933776570451589</v>
      </c>
      <c r="I86" s="1">
        <f t="shared" si="8"/>
        <v>18.398655064313054</v>
      </c>
    </row>
    <row r="87" spans="4:9">
      <c r="D87">
        <v>85</v>
      </c>
      <c r="E87" s="1">
        <f t="shared" si="9"/>
        <v>1.4835298641951802</v>
      </c>
      <c r="F87" s="1">
        <f t="shared" si="5"/>
        <v>1.506906823527786</v>
      </c>
      <c r="G87" s="1">
        <f t="shared" si="6"/>
        <v>-17.415571920818085</v>
      </c>
      <c r="H87">
        <f t="shared" si="7"/>
        <v>1.6123812408316756</v>
      </c>
      <c r="I87" s="1">
        <f t="shared" si="8"/>
        <v>18.429601914697294</v>
      </c>
    </row>
    <row r="88" spans="4:9">
      <c r="D88">
        <v>86</v>
      </c>
      <c r="E88" s="1">
        <f t="shared" si="9"/>
        <v>1.5009831567151235</v>
      </c>
      <c r="F88" s="1">
        <f t="shared" si="5"/>
        <v>1.1955571355751502</v>
      </c>
      <c r="G88" s="1">
        <f t="shared" si="6"/>
        <v>-17.383436252004518</v>
      </c>
      <c r="H88">
        <f t="shared" si="7"/>
        <v>1.2904947642663167</v>
      </c>
      <c r="I88" s="1">
        <f t="shared" si="8"/>
        <v>18.454934929806747</v>
      </c>
    </row>
    <row r="89" spans="4:9">
      <c r="D89">
        <v>87</v>
      </c>
      <c r="E89" s="1">
        <f t="shared" si="9"/>
        <v>1.5184364492350666</v>
      </c>
      <c r="F89" s="1">
        <f t="shared" si="5"/>
        <v>0.90983557774333224</v>
      </c>
      <c r="G89" s="1">
        <f t="shared" si="6"/>
        <v>-17.313327193098864</v>
      </c>
      <c r="H89">
        <f t="shared" si="7"/>
        <v>0.96821519049446336</v>
      </c>
      <c r="I89" s="1">
        <f t="shared" si="8"/>
        <v>18.474646392959617</v>
      </c>
    </row>
    <row r="90" spans="4:9">
      <c r="D90">
        <v>88</v>
      </c>
      <c r="E90" s="1">
        <f t="shared" si="9"/>
        <v>1.5358897417550099</v>
      </c>
      <c r="F90" s="1">
        <f t="shared" si="5"/>
        <v>0.66189992193107583</v>
      </c>
      <c r="G90" s="1">
        <f t="shared" si="6"/>
        <v>-17.215049597109552</v>
      </c>
      <c r="H90">
        <f t="shared" si="7"/>
        <v>0.64564068899627003</v>
      </c>
      <c r="I90" s="1">
        <f t="shared" si="8"/>
        <v>18.488730299853273</v>
      </c>
    </row>
    <row r="91" spans="4:9">
      <c r="D91">
        <v>89</v>
      </c>
      <c r="E91" s="1">
        <f t="shared" si="9"/>
        <v>1.5533430342749532</v>
      </c>
      <c r="F91" s="1">
        <f t="shared" si="5"/>
        <v>0.46016212879906115</v>
      </c>
      <c r="G91" s="1">
        <f t="shared" si="6"/>
        <v>-17.101539237791656</v>
      </c>
      <c r="H91">
        <f t="shared" si="7"/>
        <v>0.32286951908974659</v>
      </c>
      <c r="I91" s="1">
        <f t="shared" si="8"/>
        <v>18.497182360393239</v>
      </c>
    </row>
    <row r="92" spans="4:9">
      <c r="D92">
        <v>90</v>
      </c>
      <c r="E92" s="1">
        <f t="shared" si="9"/>
        <v>1.5707963267948966</v>
      </c>
      <c r="F92" s="1">
        <f t="shared" si="5"/>
        <v>0.3083038658631676</v>
      </c>
      <c r="G92" s="1">
        <f t="shared" si="6"/>
        <v>-16.987273655095709</v>
      </c>
      <c r="H92">
        <f t="shared" si="7"/>
        <v>1.1332623207904735E-15</v>
      </c>
      <c r="I92" s="1">
        <f t="shared" si="8"/>
        <v>18.5</v>
      </c>
    </row>
    <row r="93" spans="4:9">
      <c r="D93">
        <v>91</v>
      </c>
      <c r="E93" s="1">
        <f t="shared" si="9"/>
        <v>1.5882496193148399</v>
      </c>
      <c r="F93" s="1">
        <f t="shared" si="5"/>
        <v>0.20461261940611564</v>
      </c>
      <c r="G93" s="1">
        <f t="shared" si="6"/>
        <v>-16.886014474998497</v>
      </c>
      <c r="H93">
        <f t="shared" si="7"/>
        <v>-0.32286951908974432</v>
      </c>
      <c r="I93" s="1">
        <f t="shared" si="8"/>
        <v>18.497182360393239</v>
      </c>
    </row>
    <row r="94" spans="4:9">
      <c r="D94">
        <v>92</v>
      </c>
      <c r="E94" s="1">
        <f t="shared" si="9"/>
        <v>1.6057029118347832</v>
      </c>
      <c r="F94" s="1">
        <f t="shared" si="5"/>
        <v>0.14152931592416362</v>
      </c>
      <c r="G94" s="1">
        <f t="shared" si="6"/>
        <v>-16.80726348475185</v>
      </c>
      <c r="H94">
        <f t="shared" si="7"/>
        <v>-0.6456406889962677</v>
      </c>
      <c r="I94" s="1">
        <f t="shared" si="8"/>
        <v>18.488730299853273</v>
      </c>
    </row>
    <row r="95" spans="4:9">
      <c r="D95">
        <v>93</v>
      </c>
      <c r="E95" s="1">
        <f t="shared" si="9"/>
        <v>1.6231562043547265</v>
      </c>
      <c r="F95" s="1">
        <f t="shared" si="5"/>
        <v>0.10468623640623176</v>
      </c>
      <c r="G95" s="1">
        <f t="shared" si="6"/>
        <v>-16.748992333379256</v>
      </c>
      <c r="H95">
        <f t="shared" si="7"/>
        <v>-0.96821519049446103</v>
      </c>
      <c r="I95" s="1">
        <f t="shared" si="8"/>
        <v>18.474646392959617</v>
      </c>
    </row>
    <row r="96" spans="4:9">
      <c r="D96">
        <v>94</v>
      </c>
      <c r="E96" s="1">
        <f t="shared" si="9"/>
        <v>1.6406094968746698</v>
      </c>
      <c r="F96" s="1">
        <f t="shared" si="5"/>
        <v>6.6682357770716572E-2</v>
      </c>
      <c r="G96" s="1">
        <f t="shared" si="6"/>
        <v>-16.675228620954975</v>
      </c>
      <c r="H96">
        <f t="shared" si="7"/>
        <v>-1.2904947642663187</v>
      </c>
      <c r="I96" s="1">
        <f t="shared" si="8"/>
        <v>18.454934929806747</v>
      </c>
    </row>
    <row r="97" spans="4:9">
      <c r="D97">
        <v>95</v>
      </c>
      <c r="E97" s="1">
        <f t="shared" si="9"/>
        <v>1.6580627893946132</v>
      </c>
      <c r="F97" s="1">
        <f t="shared" si="5"/>
        <v>-7.7640284777181545E-2</v>
      </c>
      <c r="G97" s="1">
        <f t="shared" si="6"/>
        <v>-16.40488716210168</v>
      </c>
      <c r="H97">
        <f t="shared" si="7"/>
        <v>-1.6123812408316773</v>
      </c>
      <c r="I97" s="1">
        <f t="shared" si="8"/>
        <v>18.429601914697294</v>
      </c>
    </row>
    <row r="98" spans="4:9">
      <c r="D98">
        <v>96</v>
      </c>
      <c r="E98" s="1">
        <f t="shared" si="9"/>
        <v>1.6755160819145565</v>
      </c>
      <c r="F98" s="1">
        <f t="shared" si="5"/>
        <v>-1.6201911806486615</v>
      </c>
      <c r="G98" s="1">
        <f t="shared" si="6"/>
        <v>-15.415089378208233</v>
      </c>
      <c r="H98">
        <f t="shared" si="7"/>
        <v>-1.9337765704515908</v>
      </c>
      <c r="I98" s="1">
        <f t="shared" si="8"/>
        <v>18.398655064313054</v>
      </c>
    </row>
    <row r="99" spans="4:9">
      <c r="D99">
        <v>97</v>
      </c>
      <c r="E99" s="1">
        <f t="shared" si="9"/>
        <v>1.6929693744344996</v>
      </c>
      <c r="F99" s="1">
        <f t="shared" si="5"/>
        <v>-3.3348241692720215</v>
      </c>
      <c r="G99" s="1">
        <f t="shared" si="6"/>
        <v>-16.062543340802161</v>
      </c>
      <c r="H99">
        <f t="shared" si="7"/>
        <v>-2.2545828529952261</v>
      </c>
      <c r="I99" s="1">
        <f t="shared" si="8"/>
        <v>18.362103805364459</v>
      </c>
    </row>
    <row r="100" spans="4:9">
      <c r="D100">
        <v>98</v>
      </c>
      <c r="E100" s="1">
        <f t="shared" si="9"/>
        <v>1.7104226669544429</v>
      </c>
      <c r="F100" s="1">
        <f t="shared" si="5"/>
        <v>-3.5322001656201412</v>
      </c>
      <c r="G100" s="1">
        <f t="shared" si="6"/>
        <v>-16.296970825522973</v>
      </c>
      <c r="H100">
        <f t="shared" si="7"/>
        <v>-2.5747023677612089</v>
      </c>
      <c r="I100" s="1">
        <f t="shared" si="8"/>
        <v>18.319959271719053</v>
      </c>
    </row>
    <row r="101" spans="4:9">
      <c r="D101">
        <v>99</v>
      </c>
      <c r="E101" s="1">
        <f t="shared" si="9"/>
        <v>1.7278759594743862</v>
      </c>
      <c r="F101" s="1">
        <f t="shared" si="5"/>
        <v>-3.584709906497177</v>
      </c>
      <c r="G101" s="1">
        <f t="shared" si="6"/>
        <v>-16.361221173187257</v>
      </c>
      <c r="H101">
        <f t="shared" si="7"/>
        <v>-2.8940376032442701</v>
      </c>
      <c r="I101" s="1">
        <f t="shared" si="8"/>
        <v>18.272234301010048</v>
      </c>
    </row>
    <row r="102" spans="4:9">
      <c r="D102">
        <v>100</v>
      </c>
      <c r="E102" s="1">
        <f t="shared" si="9"/>
        <v>1.7453292519943295</v>
      </c>
      <c r="F102" s="1">
        <f t="shared" si="5"/>
        <v>-3.6328631299390599</v>
      </c>
      <c r="G102" s="1">
        <f t="shared" si="6"/>
        <v>-16.410558853136845</v>
      </c>
      <c r="H102">
        <f t="shared" si="7"/>
        <v>-3.2124912868382105</v>
      </c>
      <c r="I102" s="1">
        <f t="shared" si="8"/>
        <v>18.218943430725847</v>
      </c>
    </row>
    <row r="103" spans="4:9">
      <c r="D103">
        <v>101</v>
      </c>
      <c r="E103" s="1">
        <f t="shared" si="9"/>
        <v>1.7627825445142729</v>
      </c>
      <c r="F103" s="1">
        <f t="shared" si="5"/>
        <v>-3.7109411634220466</v>
      </c>
      <c r="G103" s="1">
        <f t="shared" si="6"/>
        <v>-16.474473189012713</v>
      </c>
      <c r="H103">
        <f t="shared" si="7"/>
        <v>-3.5299664144660787</v>
      </c>
      <c r="I103" s="1">
        <f t="shared" si="8"/>
        <v>18.160102893781783</v>
      </c>
    </row>
    <row r="104" spans="4:9">
      <c r="D104">
        <v>102</v>
      </c>
      <c r="E104" s="1">
        <f t="shared" si="9"/>
        <v>1.7802358370342162</v>
      </c>
      <c r="F104" s="1">
        <f t="shared" si="5"/>
        <v>-3.8334194747059431</v>
      </c>
      <c r="G104" s="1">
        <f t="shared" si="6"/>
        <v>-16.551960990703193</v>
      </c>
      <c r="H104">
        <f t="shared" si="7"/>
        <v>-3.8463662801285476</v>
      </c>
      <c r="I104" s="1">
        <f t="shared" si="8"/>
        <v>18.095730613575405</v>
      </c>
    </row>
    <row r="105" spans="4:9">
      <c r="D105">
        <v>103</v>
      </c>
      <c r="E105" s="1">
        <f t="shared" si="9"/>
        <v>1.7976891295541595</v>
      </c>
      <c r="F105" s="1">
        <f t="shared" si="5"/>
        <v>-4.0057164207488771</v>
      </c>
      <c r="G105" s="1">
        <f t="shared" si="6"/>
        <v>-16.632156488052033</v>
      </c>
      <c r="H105">
        <f t="shared" si="7"/>
        <v>-4.1615945053615029</v>
      </c>
      <c r="I105" s="1">
        <f t="shared" si="8"/>
        <v>18.025846198526853</v>
      </c>
    </row>
    <row r="106" spans="4:9">
      <c r="D106">
        <v>104</v>
      </c>
      <c r="E106" s="1">
        <f t="shared" si="9"/>
        <v>1.8151424220741028</v>
      </c>
      <c r="F106" s="1">
        <f t="shared" si="5"/>
        <v>-4.2266458898094088</v>
      </c>
      <c r="G106" s="1">
        <f t="shared" si="6"/>
        <v>-16.701242728005337</v>
      </c>
      <c r="H106">
        <f t="shared" si="7"/>
        <v>-4.4755550685938541</v>
      </c>
      <c r="I106" s="1">
        <f t="shared" si="8"/>
        <v>17.950470936105933</v>
      </c>
    </row>
    <row r="107" spans="4:9">
      <c r="D107">
        <v>105</v>
      </c>
      <c r="E107" s="1">
        <f t="shared" si="9"/>
        <v>1.8325957145940461</v>
      </c>
      <c r="F107" s="1">
        <f t="shared" si="5"/>
        <v>-4.4895966178301734</v>
      </c>
      <c r="G107" s="1">
        <f t="shared" si="6"/>
        <v>-16.74582400131424</v>
      </c>
      <c r="H107">
        <f t="shared" si="7"/>
        <v>-4.7881523343966359</v>
      </c>
      <c r="I107" s="1">
        <f t="shared" si="8"/>
        <v>17.869627786347763</v>
      </c>
    </row>
    <row r="108" spans="4:9">
      <c r="D108">
        <v>106</v>
      </c>
      <c r="E108" s="1">
        <f t="shared" si="9"/>
        <v>1.8500490071139892</v>
      </c>
      <c r="F108" s="1">
        <f t="shared" si="5"/>
        <v>-4.7836509670800043</v>
      </c>
      <c r="G108" s="1">
        <f t="shared" si="6"/>
        <v>-16.754996156880615</v>
      </c>
      <c r="H108">
        <f t="shared" si="7"/>
        <v>-5.0992910826144824</v>
      </c>
      <c r="I108" s="1">
        <f t="shared" si="8"/>
        <v>17.7833413748589</v>
      </c>
    </row>
    <row r="109" spans="4:9">
      <c r="D109">
        <v>107</v>
      </c>
      <c r="E109" s="1">
        <f t="shared" si="9"/>
        <v>1.8675022996339325</v>
      </c>
      <c r="F109" s="1">
        <f t="shared" si="5"/>
        <v>-5.0948782985786849</v>
      </c>
      <c r="G109" s="1">
        <f t="shared" si="6"/>
        <v>-16.721696344170759</v>
      </c>
      <c r="H109">
        <f t="shared" si="7"/>
        <v>-5.4088765373706282</v>
      </c>
      <c r="I109" s="1">
        <f t="shared" si="8"/>
        <v>17.691637985316156</v>
      </c>
    </row>
    <row r="110" spans="4:9">
      <c r="D110">
        <v>108</v>
      </c>
      <c r="E110" s="1">
        <f t="shared" si="9"/>
        <v>1.8849555921538759</v>
      </c>
      <c r="F110" s="1">
        <f t="shared" si="5"/>
        <v>-5.4077974015615782</v>
      </c>
      <c r="G110" s="1">
        <f t="shared" si="6"/>
        <v>-16.643489035165189</v>
      </c>
      <c r="H110">
        <f t="shared" si="7"/>
        <v>-5.7168143959365256</v>
      </c>
      <c r="I110" s="1">
        <f t="shared" si="8"/>
        <v>17.594545551460342</v>
      </c>
    </row>
    <row r="111" spans="4:9">
      <c r="D111">
        <v>109</v>
      </c>
      <c r="E111" s="1">
        <f t="shared" si="9"/>
        <v>1.9024088846738192</v>
      </c>
      <c r="F111" s="1">
        <f t="shared" si="5"/>
        <v>-5.7069233765942613</v>
      </c>
      <c r="G111" s="1">
        <f t="shared" si="6"/>
        <v>-16.522830843341094</v>
      </c>
      <c r="H111">
        <f t="shared" si="7"/>
        <v>-6.0230108574573977</v>
      </c>
      <c r="I111" s="1">
        <f t="shared" si="8"/>
        <v>17.49209364858736</v>
      </c>
    </row>
    <row r="112" spans="4:9">
      <c r="D112">
        <v>110</v>
      </c>
      <c r="E112" s="1">
        <f t="shared" si="9"/>
        <v>1.9198621771937625</v>
      </c>
      <c r="F112" s="1">
        <f t="shared" si="5"/>
        <v>-5.9782847157056125</v>
      </c>
      <c r="G112" s="1">
        <f t="shared" si="6"/>
        <v>-16.366836122167605</v>
      </c>
      <c r="H112">
        <f t="shared" si="7"/>
        <v>-6.3273726515248709</v>
      </c>
      <c r="I112" s="1">
        <f t="shared" si="8"/>
        <v>17.384313484539305</v>
      </c>
    </row>
    <row r="113" spans="4:9">
      <c r="D113">
        <v>111</v>
      </c>
      <c r="E113" s="1">
        <f t="shared" si="9"/>
        <v>1.9373154697137058</v>
      </c>
      <c r="F113" s="1">
        <f t="shared" si="5"/>
        <v>-6.2107884237449467</v>
      </c>
      <c r="G113" s="1">
        <f t="shared" si="6"/>
        <v>-16.186574882577844</v>
      </c>
      <c r="H113">
        <f t="shared" si="7"/>
        <v>-6.6298070665880546</v>
      </c>
      <c r="I113" s="1">
        <f t="shared" si="8"/>
        <v>17.271237890198233</v>
      </c>
    </row>
    <row r="114" spans="4:9">
      <c r="D114">
        <v>112</v>
      </c>
      <c r="E114" s="1">
        <f t="shared" si="9"/>
        <v>1.9547687622336491</v>
      </c>
      <c r="F114" s="1">
        <f t="shared" si="5"/>
        <v>-6.3973158164176178</v>
      </c>
      <c r="G114" s="1">
        <f t="shared" si="6"/>
        <v>-15.995949314829895</v>
      </c>
      <c r="H114">
        <f t="shared" si="7"/>
        <v>-6.930221978194373</v>
      </c>
      <c r="I114" s="1">
        <f t="shared" si="8"/>
        <v>17.152901309485568</v>
      </c>
    </row>
    <row r="115" spans="4:9">
      <c r="D115">
        <v>113</v>
      </c>
      <c r="E115" s="1">
        <f t="shared" si="9"/>
        <v>1.9722220547535925</v>
      </c>
      <c r="F115" s="1">
        <f t="shared" si="5"/>
        <v>-6.535443638464927</v>
      </c>
      <c r="G115" s="1">
        <f t="shared" si="6"/>
        <v>-15.810198288919615</v>
      </c>
      <c r="H115">
        <f t="shared" si="7"/>
        <v>-7.228525877051565</v>
      </c>
      <c r="I115" s="1">
        <f t="shared" si="8"/>
        <v>17.029339788870146</v>
      </c>
    </row>
    <row r="116" spans="4:9">
      <c r="D116">
        <v>114</v>
      </c>
      <c r="E116" s="1">
        <f t="shared" si="9"/>
        <v>1.9896753472735358</v>
      </c>
      <c r="F116" s="1">
        <f t="shared" si="5"/>
        <v>-6.6276970652506577</v>
      </c>
      <c r="G116" s="1">
        <f t="shared" si="6"/>
        <v>-15.644045164792987</v>
      </c>
      <c r="H116">
        <f t="shared" si="7"/>
        <v>-7.524627896902305</v>
      </c>
      <c r="I116" s="1">
        <f t="shared" si="8"/>
        <v>16.900590966388116</v>
      </c>
    </row>
    <row r="117" spans="4:9">
      <c r="D117">
        <v>115</v>
      </c>
      <c r="E117" s="1">
        <f t="shared" si="9"/>
        <v>2.0071286397934789</v>
      </c>
      <c r="F117" s="1">
        <f t="shared" si="5"/>
        <v>-6.6812379134554467</v>
      </c>
      <c r="G117" s="1">
        <f t="shared" si="6"/>
        <v>-15.509365271270271</v>
      </c>
      <c r="H117">
        <f t="shared" si="7"/>
        <v>-7.8184378422029379</v>
      </c>
      <c r="I117" s="1">
        <f t="shared" si="8"/>
        <v>16.766694060178025</v>
      </c>
    </row>
    <row r="118" spans="4:9">
      <c r="D118">
        <v>116</v>
      </c>
      <c r="E118" s="1">
        <f t="shared" si="9"/>
        <v>2.0245819323134224</v>
      </c>
      <c r="F118" s="1">
        <f t="shared" si="5"/>
        <v>-6.7068364653926587</v>
      </c>
      <c r="G118" s="1">
        <f t="shared" si="6"/>
        <v>-15.411764370753206</v>
      </c>
      <c r="H118">
        <f t="shared" si="7"/>
        <v>-8.1098662155979344</v>
      </c>
      <c r="I118" s="1">
        <f t="shared" si="8"/>
        <v>16.627689856534587</v>
      </c>
    </row>
    <row r="119" spans="4:9">
      <c r="D119">
        <v>117</v>
      </c>
      <c r="E119" s="1">
        <f t="shared" si="9"/>
        <v>2.0420352248333655</v>
      </c>
      <c r="F119" s="1">
        <f t="shared" si="5"/>
        <v>-6.7167932808343789</v>
      </c>
      <c r="G119" s="1">
        <f t="shared" si="6"/>
        <v>-15.343545594621478</v>
      </c>
      <c r="H119">
        <f t="shared" si="7"/>
        <v>-8.3988242451816131</v>
      </c>
      <c r="I119" s="1">
        <f t="shared" si="8"/>
        <v>16.483620697484806</v>
      </c>
    </row>
    <row r="120" spans="4:9">
      <c r="D120">
        <v>118</v>
      </c>
      <c r="E120" s="1">
        <f t="shared" si="9"/>
        <v>2.0594885173533091</v>
      </c>
      <c r="F120" s="1">
        <f t="shared" si="5"/>
        <v>-6.7215091467623944</v>
      </c>
      <c r="G120" s="1">
        <f t="shared" si="6"/>
        <v>-15.260701520177349</v>
      </c>
      <c r="H120">
        <f t="shared" si="7"/>
        <v>-8.6852239115389818</v>
      </c>
      <c r="I120" s="1">
        <f t="shared" si="8"/>
        <v>16.334530467890147</v>
      </c>
    </row>
    <row r="121" spans="4:9">
      <c r="D121">
        <v>119</v>
      </c>
      <c r="E121" s="1">
        <f t="shared" si="9"/>
        <v>2.0769418098732522</v>
      </c>
      <c r="F121" s="1">
        <f t="shared" si="5"/>
        <v>-6.7433966638387997</v>
      </c>
      <c r="G121" s="1">
        <f t="shared" si="6"/>
        <v>-14.955031001279689</v>
      </c>
      <c r="H121">
        <f t="shared" si="7"/>
        <v>-8.9689779745572338</v>
      </c>
      <c r="I121" s="1">
        <f t="shared" si="8"/>
        <v>16.180464582078823</v>
      </c>
    </row>
    <row r="122" spans="4:9">
      <c r="D122">
        <v>120</v>
      </c>
      <c r="E122" s="1">
        <f t="shared" si="9"/>
        <v>2.0943951023931953</v>
      </c>
      <c r="F122" s="1">
        <f t="shared" si="5"/>
        <v>-7.7499999999999467</v>
      </c>
      <c r="G122" s="1">
        <f t="shared" si="6"/>
        <v>-13.423393758658829</v>
      </c>
      <c r="H122">
        <f t="shared" si="7"/>
        <v>-9.2499999999999964</v>
      </c>
      <c r="I122" s="1">
        <f t="shared" si="8"/>
        <v>16.021469970012117</v>
      </c>
    </row>
    <row r="123" spans="4:9">
      <c r="D123">
        <v>121</v>
      </c>
      <c r="E123" s="1">
        <f t="shared" si="9"/>
        <v>2.1118483949131388</v>
      </c>
      <c r="F123" s="1">
        <f t="shared" si="5"/>
        <v>-9.5797384295726413</v>
      </c>
      <c r="G123" s="1">
        <f t="shared" si="6"/>
        <v>-13.317468319319479</v>
      </c>
      <c r="H123">
        <f t="shared" si="7"/>
        <v>-9.5282043858360037</v>
      </c>
      <c r="I123" s="1">
        <f t="shared" si="8"/>
        <v>15.857595062989079</v>
      </c>
    </row>
    <row r="124" spans="4:9">
      <c r="D124">
        <v>122</v>
      </c>
      <c r="E124" s="1">
        <f t="shared" si="9"/>
        <v>2.1293016874330819</v>
      </c>
      <c r="F124" s="1">
        <f t="shared" si="5"/>
        <v>-9.8554006226641864</v>
      </c>
      <c r="G124" s="1">
        <f t="shared" si="6"/>
        <v>-13.451348432954376</v>
      </c>
      <c r="H124">
        <f t="shared" si="7"/>
        <v>-9.8035063883142879</v>
      </c>
      <c r="I124" s="1">
        <f t="shared" si="8"/>
        <v>15.688889778893882</v>
      </c>
    </row>
    <row r="125" spans="4:9">
      <c r="D125">
        <v>123</v>
      </c>
      <c r="E125" s="1">
        <f t="shared" si="9"/>
        <v>2.1467549799530254</v>
      </c>
      <c r="F125" s="1">
        <f t="shared" si="5"/>
        <v>-9.9295036286498188</v>
      </c>
      <c r="G125" s="1">
        <f t="shared" si="6"/>
        <v>-13.488686410481936</v>
      </c>
      <c r="H125">
        <f t="shared" si="7"/>
        <v>-10.075822147778002</v>
      </c>
      <c r="I125" s="1">
        <f t="shared" si="8"/>
        <v>15.515405506990342</v>
      </c>
    </row>
    <row r="126" spans="4:9">
      <c r="D126">
        <v>124</v>
      </c>
      <c r="E126" s="1">
        <f t="shared" si="9"/>
        <v>2.1642082724729685</v>
      </c>
      <c r="F126" s="1">
        <f t="shared" si="5"/>
        <v>-9.9935612295158442</v>
      </c>
      <c r="G126" s="1">
        <f t="shared" si="6"/>
        <v>-13.514172943434478</v>
      </c>
      <c r="H126">
        <f t="shared" si="7"/>
        <v>-10.345068714208814</v>
      </c>
      <c r="I126" s="1">
        <f t="shared" si="8"/>
        <v>15.337195092268272</v>
      </c>
    </row>
    <row r="127" spans="4:9">
      <c r="D127">
        <v>125</v>
      </c>
      <c r="E127" s="1">
        <f t="shared" si="9"/>
        <v>2.1816615649929121</v>
      </c>
      <c r="F127" s="1">
        <f t="shared" si="5"/>
        <v>-10.090885364764466</v>
      </c>
      <c r="G127" s="1">
        <f t="shared" si="6"/>
        <v>-13.54080439741529</v>
      </c>
      <c r="H127">
        <f t="shared" si="7"/>
        <v>-10.611164072494354</v>
      </c>
      <c r="I127" s="1">
        <f t="shared" si="8"/>
        <v>15.154312819346346</v>
      </c>
    </row>
    <row r="128" spans="4:9">
      <c r="D128">
        <v>126</v>
      </c>
      <c r="E128" s="1">
        <f t="shared" si="9"/>
        <v>2.1991148575128552</v>
      </c>
      <c r="F128" s="1">
        <f t="shared" si="5"/>
        <v>-10.234291998036509</v>
      </c>
      <c r="G128" s="1">
        <f t="shared" si="6"/>
        <v>-13.561776609491131</v>
      </c>
      <c r="H128">
        <f t="shared" si="7"/>
        <v>-10.874027167410752</v>
      </c>
      <c r="I128" s="1">
        <f t="shared" si="8"/>
        <v>14.966814395936527</v>
      </c>
    </row>
    <row r="129" spans="4:9">
      <c r="D129">
        <v>127</v>
      </c>
      <c r="E129" s="1">
        <f t="shared" si="9"/>
        <v>2.2165681500327987</v>
      </c>
      <c r="F129" s="1">
        <f t="shared" si="5"/>
        <v>-10.424311537841191</v>
      </c>
      <c r="G129" s="1">
        <f t="shared" si="6"/>
        <v>-13.564959360371837</v>
      </c>
      <c r="H129">
        <f t="shared" si="7"/>
        <v>-11.133577928312896</v>
      </c>
      <c r="I129" s="1">
        <f t="shared" si="8"/>
        <v>14.774756935874915</v>
      </c>
    </row>
    <row r="130" spans="4:9">
      <c r="D130">
        <v>128</v>
      </c>
      <c r="E130" s="1">
        <f t="shared" si="9"/>
        <v>2.2340214425527418</v>
      </c>
      <c r="F130" s="1">
        <f t="shared" ref="F130:F193" si="10">($B$1*COS(E130)) - ($B$3*COS(E130 + ATAN(SIN((1-$B$4)*E130) / (($B$1/($B$2*$B$4)) - COS((1-$B$4)*E130))))) - ($B$2*COS($B$4*E130))</f>
        <v>-10.654240556082167</v>
      </c>
      <c r="G130" s="1">
        <f t="shared" ref="G130:G193" si="11">(-$B$1*SIN(E130)) + ($B$3*SIN(E130 + ATAN(SIN((1-$B$4)*E130) / (($B$1/($B$2*$B$4)) - COS((1-$B$4)*E130))))) + ($B$2*SIN($B$4*E130))</f>
        <v>-13.53821267046459</v>
      </c>
      <c r="H130">
        <f t="shared" ref="H130:H193" si="12">$B$1*COS(E130)</f>
        <v>-11.389737293524679</v>
      </c>
      <c r="I130" s="1">
        <f t="shared" ref="I130:I193" si="13">$B$1*SIN(E130)</f>
        <v>14.578198941724358</v>
      </c>
    </row>
    <row r="131" spans="4:9">
      <c r="D131">
        <v>129</v>
      </c>
      <c r="E131" s="1">
        <f t="shared" ref="E131:E194" si="14">RADIANS(D131)</f>
        <v>2.2514747350726849</v>
      </c>
      <c r="F131" s="1">
        <f t="shared" si="10"/>
        <v>-10.912590836699051</v>
      </c>
      <c r="G131" s="1">
        <f t="shared" si="11"/>
        <v>-13.471987993782356</v>
      </c>
      <c r="H131">
        <f t="shared" si="12"/>
        <v>-11.642427234421989</v>
      </c>
      <c r="I131" s="1">
        <f t="shared" si="13"/>
        <v>14.377200286953963</v>
      </c>
    </row>
    <row r="132" spans="4:9">
      <c r="D132">
        <v>130</v>
      </c>
      <c r="E132" s="1">
        <f t="shared" si="14"/>
        <v>2.2689280275926285</v>
      </c>
      <c r="F132" s="1">
        <f t="shared" si="10"/>
        <v>-11.184953503521132</v>
      </c>
      <c r="G132" s="1">
        <f t="shared" si="11"/>
        <v>-13.360764495941092</v>
      </c>
      <c r="H132">
        <f t="shared" si="12"/>
        <v>-11.891570779200979</v>
      </c>
      <c r="I132" s="1">
        <f t="shared" si="13"/>
        <v>14.171822197701093</v>
      </c>
    </row>
    <row r="133" spans="4:9">
      <c r="D133">
        <v>131</v>
      </c>
      <c r="E133" s="1">
        <f t="shared" si="14"/>
        <v>2.2863813201125716</v>
      </c>
      <c r="F133" s="1">
        <f t="shared" si="10"/>
        <v>-11.455729564469312</v>
      </c>
      <c r="G133" s="1">
        <f t="shared" si="11"/>
        <v>-13.203756043252449</v>
      </c>
      <c r="H133">
        <f t="shared" si="12"/>
        <v>-12.137092036324383</v>
      </c>
      <c r="I133" s="1">
        <f t="shared" si="13"/>
        <v>13.962127234121285</v>
      </c>
    </row>
    <row r="134" spans="4:9">
      <c r="D134">
        <v>132</v>
      </c>
      <c r="E134" s="1">
        <f t="shared" si="14"/>
        <v>2.3038346126325151</v>
      </c>
      <c r="F134" s="1">
        <f t="shared" si="10"/>
        <v>-11.709785611280019</v>
      </c>
      <c r="G134" s="1">
        <f t="shared" si="11"/>
        <v>-13.005034445854399</v>
      </c>
      <c r="H134">
        <f t="shared" si="12"/>
        <v>-12.378916217638878</v>
      </c>
      <c r="I134" s="1">
        <f t="shared" si="13"/>
        <v>13.748179271331793</v>
      </c>
    </row>
    <row r="135" spans="4:9">
      <c r="D135">
        <v>133</v>
      </c>
      <c r="E135" s="1">
        <f t="shared" si="14"/>
        <v>2.3212879051524582</v>
      </c>
      <c r="F135" s="1">
        <f t="shared" si="10"/>
        <v>-11.933974679131913</v>
      </c>
      <c r="G135" s="1">
        <f t="shared" si="11"/>
        <v>-12.773142207844561</v>
      </c>
      <c r="H135">
        <f t="shared" si="12"/>
        <v>-12.616969661156221</v>
      </c>
      <c r="I135" s="1">
        <f t="shared" si="13"/>
        <v>13.530043479954655</v>
      </c>
    </row>
    <row r="136" spans="4:9">
      <c r="D136">
        <v>134</v>
      </c>
      <c r="E136" s="1">
        <f t="shared" si="14"/>
        <v>2.3387411976724017</v>
      </c>
      <c r="F136" s="1">
        <f t="shared" si="10"/>
        <v>-12.118426828629252</v>
      </c>
      <c r="G136" s="1">
        <f t="shared" si="11"/>
        <v>-12.520261338769586</v>
      </c>
      <c r="H136">
        <f t="shared" si="12"/>
        <v>-12.851179853491452</v>
      </c>
      <c r="I136" s="1">
        <f t="shared" si="13"/>
        <v>13.307786306265045</v>
      </c>
    </row>
    <row r="137" spans="4:9">
      <c r="D137">
        <v>135</v>
      </c>
      <c r="E137" s="1">
        <f t="shared" si="14"/>
        <v>2.3561944901923448</v>
      </c>
      <c r="F137" s="1">
        <f t="shared" si="10"/>
        <v>-12.257510683526222</v>
      </c>
      <c r="G137" s="1">
        <f t="shared" si="11"/>
        <v>-12.261016724442747</v>
      </c>
      <c r="H137">
        <f t="shared" si="12"/>
        <v>-13.081475451951128</v>
      </c>
      <c r="I137" s="1">
        <f t="shared" si="13"/>
        <v>13.08147545195113</v>
      </c>
    </row>
    <row r="138" spans="4:9">
      <c r="D138">
        <v>136</v>
      </c>
      <c r="E138" s="1">
        <f t="shared" si="14"/>
        <v>2.3736477827122884</v>
      </c>
      <c r="F138" s="1">
        <f t="shared" si="10"/>
        <v>-12.35037753231804</v>
      </c>
      <c r="G138" s="1">
        <f t="shared" si="11"/>
        <v>-12.011004077378693</v>
      </c>
      <c r="H138">
        <f t="shared" si="12"/>
        <v>-13.307786306265047</v>
      </c>
      <c r="I138" s="1">
        <f t="shared" si="13"/>
        <v>12.851179853491447</v>
      </c>
    </row>
    <row r="139" spans="4:9">
      <c r="D139">
        <v>137</v>
      </c>
      <c r="E139" s="1">
        <f t="shared" si="14"/>
        <v>2.3911010752322315</v>
      </c>
      <c r="F139" s="1">
        <f t="shared" si="10"/>
        <v>-12.40101182799679</v>
      </c>
      <c r="G139" s="1">
        <f t="shared" si="11"/>
        <v>-11.785130424751024</v>
      </c>
      <c r="H139">
        <f t="shared" si="12"/>
        <v>-13.530043479954653</v>
      </c>
      <c r="I139" s="1">
        <f t="shared" si="13"/>
        <v>12.616969661156224</v>
      </c>
    </row>
    <row r="140" spans="4:9">
      <c r="D140">
        <v>138</v>
      </c>
      <c r="E140" s="1">
        <f t="shared" si="14"/>
        <v>2.4085543677521746</v>
      </c>
      <c r="F140" s="1">
        <f t="shared" si="10"/>
        <v>-12.417708963045037</v>
      </c>
      <c r="G140" s="1">
        <f t="shared" si="11"/>
        <v>-11.595819143808944</v>
      </c>
      <c r="H140">
        <f t="shared" si="12"/>
        <v>-13.748179271331789</v>
      </c>
      <c r="I140" s="1">
        <f t="shared" si="13"/>
        <v>12.37891621763888</v>
      </c>
    </row>
    <row r="141" spans="4:9">
      <c r="D141">
        <v>139</v>
      </c>
      <c r="E141" s="1">
        <f t="shared" si="14"/>
        <v>2.4260076602721181</v>
      </c>
      <c r="F141" s="1">
        <f t="shared" si="10"/>
        <v>-12.411841713939619</v>
      </c>
      <c r="G141" s="1">
        <f t="shared" si="11"/>
        <v>-11.451005913979225</v>
      </c>
      <c r="H141">
        <f t="shared" si="12"/>
        <v>-13.962127234121283</v>
      </c>
      <c r="I141" s="1">
        <f t="shared" si="13"/>
        <v>12.137092036324384</v>
      </c>
    </row>
    <row r="142" spans="4:9">
      <c r="D142">
        <v>140</v>
      </c>
      <c r="E142" s="1">
        <f t="shared" si="14"/>
        <v>2.4434609527920612</v>
      </c>
      <c r="F142" s="1">
        <f t="shared" si="10"/>
        <v>-12.395529292146602</v>
      </c>
      <c r="G142" s="1">
        <f t="shared" si="11"/>
        <v>-11.351431185567501</v>
      </c>
      <c r="H142">
        <f t="shared" si="12"/>
        <v>-14.171822197701092</v>
      </c>
      <c r="I142" s="1">
        <f t="shared" si="13"/>
        <v>11.891570779200981</v>
      </c>
    </row>
    <row r="143" spans="4:9">
      <c r="D143">
        <v>141</v>
      </c>
      <c r="E143" s="1">
        <f t="shared" si="14"/>
        <v>2.4609142453120048</v>
      </c>
      <c r="F143" s="1">
        <f t="shared" si="10"/>
        <v>-12.376878219667413</v>
      </c>
      <c r="G143" s="1">
        <f t="shared" si="11"/>
        <v>-11.285060430817925</v>
      </c>
      <c r="H143">
        <f t="shared" si="12"/>
        <v>-14.377200286953961</v>
      </c>
      <c r="I143" s="1">
        <f t="shared" si="13"/>
        <v>11.642427234421993</v>
      </c>
    </row>
    <row r="144" spans="4:9">
      <c r="D144">
        <v>142</v>
      </c>
      <c r="E144" s="1">
        <f t="shared" si="14"/>
        <v>2.4783675378319479</v>
      </c>
      <c r="F144" s="1">
        <f t="shared" si="10"/>
        <v>-12.347490656826677</v>
      </c>
      <c r="G144" s="1">
        <f t="shared" si="11"/>
        <v>-11.207460487440132</v>
      </c>
      <c r="H144">
        <f t="shared" si="12"/>
        <v>-14.578198941724356</v>
      </c>
      <c r="I144" s="1">
        <f t="shared" si="13"/>
        <v>11.38973729352468</v>
      </c>
    </row>
    <row r="145" spans="4:9">
      <c r="D145">
        <v>143</v>
      </c>
      <c r="E145" s="1">
        <f t="shared" si="14"/>
        <v>2.4958208303518914</v>
      </c>
      <c r="F145" s="1">
        <f t="shared" si="10"/>
        <v>-12.243158497887226</v>
      </c>
      <c r="G145" s="1">
        <f t="shared" si="11"/>
        <v>-10.919314118144984</v>
      </c>
      <c r="H145">
        <f t="shared" si="12"/>
        <v>-14.774756935874919</v>
      </c>
      <c r="I145" s="1">
        <f t="shared" si="13"/>
        <v>11.13357792831289</v>
      </c>
    </row>
    <row r="146" spans="4:9">
      <c r="D146">
        <v>144</v>
      </c>
      <c r="E146" s="1">
        <f t="shared" si="14"/>
        <v>2.5132741228718345</v>
      </c>
      <c r="F146" s="1">
        <f t="shared" si="10"/>
        <v>-12.539763412811674</v>
      </c>
      <c r="G146" s="1">
        <f t="shared" si="11"/>
        <v>-9.1106714105333495</v>
      </c>
      <c r="H146">
        <f t="shared" si="12"/>
        <v>-14.966814395936526</v>
      </c>
      <c r="I146" s="1">
        <f t="shared" si="13"/>
        <v>10.874027167410755</v>
      </c>
    </row>
    <row r="147" spans="4:9">
      <c r="D147">
        <v>145</v>
      </c>
      <c r="E147" s="1">
        <f t="shared" si="14"/>
        <v>2.530727415391778</v>
      </c>
      <c r="F147" s="1">
        <f t="shared" si="10"/>
        <v>-14.168228886208675</v>
      </c>
      <c r="G147" s="1">
        <f t="shared" si="11"/>
        <v>-8.2696820400249376</v>
      </c>
      <c r="H147">
        <f t="shared" si="12"/>
        <v>-15.15431281934635</v>
      </c>
      <c r="I147" s="1">
        <f t="shared" si="13"/>
        <v>10.611164072494351</v>
      </c>
    </row>
    <row r="148" spans="4:9">
      <c r="D148">
        <v>146</v>
      </c>
      <c r="E148" s="1">
        <f t="shared" si="14"/>
        <v>2.5481807079117211</v>
      </c>
      <c r="F148" s="1">
        <f t="shared" si="10"/>
        <v>-14.474512778545719</v>
      </c>
      <c r="G148" s="1">
        <f t="shared" si="11"/>
        <v>-8.2798656946638047</v>
      </c>
      <c r="H148">
        <f t="shared" si="12"/>
        <v>-15.337195092268271</v>
      </c>
      <c r="I148" s="1">
        <f t="shared" si="13"/>
        <v>10.345068714208818</v>
      </c>
    </row>
    <row r="149" spans="4:9">
      <c r="D149">
        <v>147</v>
      </c>
      <c r="E149" s="1">
        <f t="shared" si="14"/>
        <v>2.5656340004316642</v>
      </c>
      <c r="F149" s="1">
        <f t="shared" si="10"/>
        <v>-14.557395966700355</v>
      </c>
      <c r="G149" s="1">
        <f t="shared" si="11"/>
        <v>-8.2838352265352491</v>
      </c>
      <c r="H149">
        <f t="shared" si="12"/>
        <v>-15.515405506990342</v>
      </c>
      <c r="I149" s="1">
        <f t="shared" si="13"/>
        <v>10.075822147778005</v>
      </c>
    </row>
    <row r="150" spans="4:9">
      <c r="D150">
        <v>148</v>
      </c>
      <c r="E150" s="1">
        <f t="shared" si="14"/>
        <v>2.5830872929516078</v>
      </c>
      <c r="F150" s="1">
        <f t="shared" si="10"/>
        <v>-14.62628180385575</v>
      </c>
      <c r="G150" s="1">
        <f t="shared" si="11"/>
        <v>-8.2810637594053631</v>
      </c>
      <c r="H150">
        <f t="shared" si="12"/>
        <v>-15.688889778893881</v>
      </c>
      <c r="I150" s="1">
        <f t="shared" si="13"/>
        <v>9.8035063883142914</v>
      </c>
    </row>
    <row r="151" spans="4:9">
      <c r="D151">
        <v>149</v>
      </c>
      <c r="E151" s="1">
        <f t="shared" si="14"/>
        <v>2.6005405854715509</v>
      </c>
      <c r="F151" s="1">
        <f t="shared" si="10"/>
        <v>-14.726023813723501</v>
      </c>
      <c r="G151" s="1">
        <f t="shared" si="11"/>
        <v>-8.2658075111586733</v>
      </c>
      <c r="H151">
        <f t="shared" si="12"/>
        <v>-15.857595062989077</v>
      </c>
      <c r="I151" s="1">
        <f t="shared" si="13"/>
        <v>9.5282043858360055</v>
      </c>
    </row>
    <row r="152" spans="4:9">
      <c r="D152">
        <v>150</v>
      </c>
      <c r="E152" s="1">
        <f t="shared" si="14"/>
        <v>2.6179938779914944</v>
      </c>
      <c r="F152" s="1">
        <f t="shared" si="10"/>
        <v>-14.865562459282605</v>
      </c>
      <c r="G152" s="1">
        <f t="shared" si="11"/>
        <v>-8.2266378476254012</v>
      </c>
      <c r="H152">
        <f t="shared" si="12"/>
        <v>-16.021469970012117</v>
      </c>
      <c r="I152" s="1">
        <f t="shared" si="13"/>
        <v>9.2499999999999982</v>
      </c>
    </row>
    <row r="153" spans="4:9">
      <c r="D153">
        <v>151</v>
      </c>
      <c r="E153" s="1">
        <f t="shared" si="14"/>
        <v>2.6354471705114375</v>
      </c>
      <c r="F153" s="1">
        <f t="shared" si="10"/>
        <v>-15.040448488143468</v>
      </c>
      <c r="G153" s="1">
        <f t="shared" si="11"/>
        <v>-8.1522575254963137</v>
      </c>
      <c r="H153">
        <f t="shared" si="12"/>
        <v>-16.18046458207882</v>
      </c>
      <c r="I153" s="1">
        <f t="shared" si="13"/>
        <v>8.9689779745572373</v>
      </c>
    </row>
    <row r="154" spans="4:9">
      <c r="D154">
        <v>152</v>
      </c>
      <c r="E154" s="1">
        <f t="shared" si="14"/>
        <v>2.6529004630313811</v>
      </c>
      <c r="F154" s="1">
        <f t="shared" si="10"/>
        <v>-15.239620239471472</v>
      </c>
      <c r="G154" s="1">
        <f t="shared" si="11"/>
        <v>-8.0343026513995266</v>
      </c>
      <c r="H154">
        <f t="shared" si="12"/>
        <v>-16.334530467890151</v>
      </c>
      <c r="I154" s="1">
        <f t="shared" si="13"/>
        <v>8.6852239115389782</v>
      </c>
    </row>
    <row r="155" spans="4:9">
      <c r="D155">
        <v>153</v>
      </c>
      <c r="E155" s="1">
        <f t="shared" si="14"/>
        <v>2.6703537555513241</v>
      </c>
      <c r="F155" s="1">
        <f t="shared" si="10"/>
        <v>-15.44869896212721</v>
      </c>
      <c r="G155" s="1">
        <f t="shared" si="11"/>
        <v>-7.8687228729568162</v>
      </c>
      <c r="H155">
        <f t="shared" si="12"/>
        <v>-16.483620697484803</v>
      </c>
      <c r="I155" s="1">
        <f t="shared" si="13"/>
        <v>8.3988242451816166</v>
      </c>
    </row>
    <row r="156" spans="4:9">
      <c r="D156">
        <v>154</v>
      </c>
      <c r="E156" s="1">
        <f t="shared" si="14"/>
        <v>2.6878070480712677</v>
      </c>
      <c r="F156" s="1">
        <f t="shared" si="10"/>
        <v>-15.652275967090842</v>
      </c>
      <c r="G156" s="1">
        <f t="shared" si="11"/>
        <v>-7.6563352749184199</v>
      </c>
      <c r="H156">
        <f t="shared" si="12"/>
        <v>-16.627689856534591</v>
      </c>
      <c r="I156" s="1">
        <f t="shared" si="13"/>
        <v>8.1098662155979291</v>
      </c>
    </row>
    <row r="157" spans="4:9">
      <c r="D157">
        <v>155</v>
      </c>
      <c r="E157" s="1">
        <f t="shared" si="14"/>
        <v>2.7052603405912108</v>
      </c>
      <c r="F157" s="1">
        <f t="shared" si="10"/>
        <v>-15.835781116627304</v>
      </c>
      <c r="G157" s="1">
        <f t="shared" si="11"/>
        <v>-7.402766370097865</v>
      </c>
      <c r="H157">
        <f t="shared" si="12"/>
        <v>-16.766694060178025</v>
      </c>
      <c r="I157" s="1">
        <f t="shared" si="13"/>
        <v>7.8184378422029406</v>
      </c>
    </row>
    <row r="158" spans="4:9">
      <c r="D158">
        <v>156</v>
      </c>
      <c r="E158" s="1">
        <f t="shared" si="14"/>
        <v>2.7227136331111539</v>
      </c>
      <c r="F158" s="1">
        <f t="shared" si="10"/>
        <v>-15.987045508745513</v>
      </c>
      <c r="G158" s="1">
        <f t="shared" si="11"/>
        <v>-7.1178912538265067</v>
      </c>
      <c r="H158">
        <f t="shared" si="12"/>
        <v>-16.900590966388116</v>
      </c>
      <c r="I158" s="1">
        <f t="shared" si="13"/>
        <v>7.5246278969023077</v>
      </c>
    </row>
    <row r="159" spans="4:9">
      <c r="D159">
        <v>157</v>
      </c>
      <c r="E159" s="1">
        <f t="shared" si="14"/>
        <v>2.7401669256310974</v>
      </c>
      <c r="F159" s="1">
        <f t="shared" si="10"/>
        <v>-16.097533342891285</v>
      </c>
      <c r="G159" s="1">
        <f t="shared" si="11"/>
        <v>-6.8148612442576626</v>
      </c>
      <c r="H159">
        <f t="shared" si="12"/>
        <v>-17.029339788870146</v>
      </c>
      <c r="I159" s="1">
        <f t="shared" si="13"/>
        <v>7.228525877051565</v>
      </c>
    </row>
    <row r="160" spans="4:9">
      <c r="D160">
        <v>158</v>
      </c>
      <c r="E160" s="1">
        <f t="shared" si="14"/>
        <v>2.7576202181510405</v>
      </c>
      <c r="F160" s="1">
        <f t="shared" si="10"/>
        <v>-16.163182850431344</v>
      </c>
      <c r="G160" s="1">
        <f t="shared" si="11"/>
        <v>-6.5088196268948586</v>
      </c>
      <c r="H160">
        <f t="shared" si="12"/>
        <v>-17.152901309485564</v>
      </c>
      <c r="I160" s="1">
        <f t="shared" si="13"/>
        <v>6.9302219781943766</v>
      </c>
    </row>
    <row r="161" spans="4:9">
      <c r="D161">
        <v>159</v>
      </c>
      <c r="E161" s="1">
        <f t="shared" si="14"/>
        <v>2.7750735106709841</v>
      </c>
      <c r="F161" s="1">
        <f t="shared" si="10"/>
        <v>-16.18479799013712</v>
      </c>
      <c r="G161" s="1">
        <f t="shared" si="11"/>
        <v>-6.2154173868114153</v>
      </c>
      <c r="H161">
        <f t="shared" si="12"/>
        <v>-17.271237890198233</v>
      </c>
      <c r="I161" s="1">
        <f t="shared" si="13"/>
        <v>6.6298070665880537</v>
      </c>
    </row>
    <row r="162" spans="4:9">
      <c r="D162">
        <v>160</v>
      </c>
      <c r="E162" s="1">
        <f t="shared" si="14"/>
        <v>2.7925268031909272</v>
      </c>
      <c r="F162" s="1">
        <f t="shared" si="10"/>
        <v>-16.167946773223143</v>
      </c>
      <c r="G162" s="1">
        <f t="shared" si="11"/>
        <v>-5.9492471184022495</v>
      </c>
      <c r="H162">
        <f t="shared" si="12"/>
        <v>-17.384313484539305</v>
      </c>
      <c r="I162" s="1">
        <f t="shared" si="13"/>
        <v>6.3273726515248745</v>
      </c>
    </row>
    <row r="163" spans="4:9">
      <c r="D163">
        <v>161</v>
      </c>
      <c r="E163" s="1">
        <f t="shared" si="14"/>
        <v>2.8099800957108707</v>
      </c>
      <c r="F163" s="1">
        <f t="shared" si="10"/>
        <v>-16.122332412812344</v>
      </c>
      <c r="G163" s="1">
        <f t="shared" si="11"/>
        <v>-5.7223064455942012</v>
      </c>
      <c r="H163">
        <f t="shared" si="12"/>
        <v>-17.49209364858736</v>
      </c>
      <c r="I163" s="1">
        <f t="shared" si="13"/>
        <v>6.0230108574573968</v>
      </c>
    </row>
    <row r="164" spans="4:9">
      <c r="D164">
        <v>162</v>
      </c>
      <c r="E164" s="1">
        <f t="shared" si="14"/>
        <v>2.8274333882308138</v>
      </c>
      <c r="F164" s="1">
        <f t="shared" si="10"/>
        <v>-16.060586169784553</v>
      </c>
      <c r="G164" s="1">
        <f t="shared" si="11"/>
        <v>-5.5425706481505568</v>
      </c>
      <c r="H164">
        <f t="shared" si="12"/>
        <v>-17.594545551460339</v>
      </c>
      <c r="I164" s="1">
        <f t="shared" si="13"/>
        <v>5.7168143959365292</v>
      </c>
    </row>
    <row r="165" spans="4:9">
      <c r="D165">
        <v>163</v>
      </c>
      <c r="E165" s="1">
        <f t="shared" si="14"/>
        <v>2.8448866807507573</v>
      </c>
      <c r="F165" s="1">
        <f t="shared" si="10"/>
        <v>-15.996325324041539</v>
      </c>
      <c r="G165" s="1">
        <f t="shared" si="11"/>
        <v>-5.4126636050382979</v>
      </c>
      <c r="H165">
        <f t="shared" si="12"/>
        <v>-17.691637985316156</v>
      </c>
      <c r="I165" s="1">
        <f t="shared" si="13"/>
        <v>5.4088765373706273</v>
      </c>
    </row>
    <row r="166" spans="4:9">
      <c r="D166">
        <v>164</v>
      </c>
      <c r="E166" s="1">
        <f t="shared" si="14"/>
        <v>2.8623399732707004</v>
      </c>
      <c r="F166" s="1">
        <f t="shared" si="10"/>
        <v>-15.940922494440006</v>
      </c>
      <c r="G166" s="1">
        <f t="shared" si="11"/>
        <v>-5.3283324238822916</v>
      </c>
      <c r="H166">
        <f t="shared" si="12"/>
        <v>-17.7833413748589</v>
      </c>
      <c r="I166" s="1">
        <f t="shared" si="13"/>
        <v>5.0992910826144859</v>
      </c>
    </row>
    <row r="167" spans="4:9">
      <c r="D167">
        <v>165</v>
      </c>
      <c r="E167" s="1">
        <f t="shared" si="14"/>
        <v>2.8797932657906435</v>
      </c>
      <c r="F167" s="1">
        <f t="shared" si="10"/>
        <v>-15.896888473911233</v>
      </c>
      <c r="G167" s="1">
        <f t="shared" si="11"/>
        <v>-5.2752857969704561</v>
      </c>
      <c r="H167">
        <f t="shared" si="12"/>
        <v>-17.869627786347763</v>
      </c>
      <c r="I167" s="1">
        <f t="shared" si="13"/>
        <v>4.7881523343966386</v>
      </c>
    </row>
    <row r="168" spans="4:9">
      <c r="D168">
        <v>166</v>
      </c>
      <c r="E168" s="1">
        <f t="shared" si="14"/>
        <v>2.8972465583105871</v>
      </c>
      <c r="F168" s="1">
        <f t="shared" si="10"/>
        <v>-15.838478858894534</v>
      </c>
      <c r="G168" s="1">
        <f t="shared" si="11"/>
        <v>-5.2163477198423713</v>
      </c>
      <c r="H168">
        <f t="shared" si="12"/>
        <v>-17.950470936105933</v>
      </c>
      <c r="I168" s="1">
        <f t="shared" si="13"/>
        <v>4.4755550685938532</v>
      </c>
    </row>
    <row r="169" spans="4:9">
      <c r="D169">
        <v>167</v>
      </c>
      <c r="E169" s="1">
        <f t="shared" si="14"/>
        <v>2.9146998508305302</v>
      </c>
      <c r="F169" s="1">
        <f t="shared" si="10"/>
        <v>-15.625967002047776</v>
      </c>
      <c r="G169" s="1">
        <f t="shared" si="11"/>
        <v>-4.9955486251284809</v>
      </c>
      <c r="H169">
        <f t="shared" si="12"/>
        <v>-18.02584619852685</v>
      </c>
      <c r="I169" s="1">
        <f t="shared" si="13"/>
        <v>4.1615945053615064</v>
      </c>
    </row>
    <row r="170" spans="4:9">
      <c r="D170">
        <v>168</v>
      </c>
      <c r="E170" s="1">
        <f t="shared" si="14"/>
        <v>2.9321531433504737</v>
      </c>
      <c r="F170" s="1">
        <f t="shared" si="10"/>
        <v>-15.161287811373985</v>
      </c>
      <c r="G170" s="1">
        <f t="shared" si="11"/>
        <v>-3.2226312076752914</v>
      </c>
      <c r="H170">
        <f t="shared" si="12"/>
        <v>-18.095730613575405</v>
      </c>
      <c r="I170" s="1">
        <f t="shared" si="13"/>
        <v>3.8463662801285472</v>
      </c>
    </row>
    <row r="171" spans="4:9">
      <c r="D171">
        <v>169</v>
      </c>
      <c r="E171" s="1">
        <f t="shared" si="14"/>
        <v>2.9496064358704168</v>
      </c>
      <c r="F171" s="1">
        <f t="shared" si="10"/>
        <v>-16.306903854100597</v>
      </c>
      <c r="G171" s="1">
        <f t="shared" si="11"/>
        <v>-1.7919926083072797</v>
      </c>
      <c r="H171">
        <f t="shared" si="12"/>
        <v>-18.160102893781783</v>
      </c>
      <c r="I171" s="1">
        <f t="shared" si="13"/>
        <v>3.5299664144660818</v>
      </c>
    </row>
    <row r="172" spans="4:9">
      <c r="D172">
        <v>170</v>
      </c>
      <c r="E172" s="1">
        <f t="shared" si="14"/>
        <v>2.9670597283903604</v>
      </c>
      <c r="F172" s="1">
        <f t="shared" si="10"/>
        <v>-16.590850178196256</v>
      </c>
      <c r="G172" s="1">
        <f t="shared" si="11"/>
        <v>-1.6767189575474575</v>
      </c>
      <c r="H172">
        <f t="shared" si="12"/>
        <v>-18.218943430725847</v>
      </c>
      <c r="I172" s="1">
        <f t="shared" si="13"/>
        <v>3.2124912868382101</v>
      </c>
    </row>
    <row r="173" spans="4:9">
      <c r="D173">
        <v>171</v>
      </c>
      <c r="E173" s="1">
        <f t="shared" si="14"/>
        <v>2.9845130209103035</v>
      </c>
      <c r="F173" s="1">
        <f t="shared" si="10"/>
        <v>-16.668182292317834</v>
      </c>
      <c r="G173" s="1">
        <f t="shared" si="11"/>
        <v>-1.6466336756401461</v>
      </c>
      <c r="H173">
        <f t="shared" si="12"/>
        <v>-18.272234301010048</v>
      </c>
      <c r="I173" s="1">
        <f t="shared" si="13"/>
        <v>2.8940376032442732</v>
      </c>
    </row>
    <row r="174" spans="4:9">
      <c r="D174">
        <v>172</v>
      </c>
      <c r="E174" s="1">
        <f t="shared" si="14"/>
        <v>3.001966313430247</v>
      </c>
      <c r="F174" s="1">
        <f t="shared" si="10"/>
        <v>-16.729985378710253</v>
      </c>
      <c r="G174" s="1">
        <f t="shared" si="11"/>
        <v>-1.6160834202725831</v>
      </c>
      <c r="H174">
        <f t="shared" si="12"/>
        <v>-18.319959271719053</v>
      </c>
      <c r="I174" s="1">
        <f t="shared" si="13"/>
        <v>2.5747023677612084</v>
      </c>
    </row>
    <row r="175" spans="4:9">
      <c r="D175">
        <v>173</v>
      </c>
      <c r="E175" s="1">
        <f t="shared" si="14"/>
        <v>3.0194196059501901</v>
      </c>
      <c r="F175" s="1">
        <f t="shared" si="10"/>
        <v>-16.814898963563287</v>
      </c>
      <c r="G175" s="1">
        <f t="shared" si="11"/>
        <v>-1.5615774137189073</v>
      </c>
      <c r="H175">
        <f t="shared" si="12"/>
        <v>-18.362103805364455</v>
      </c>
      <c r="I175" s="1">
        <f t="shared" si="13"/>
        <v>2.2545828529952296</v>
      </c>
    </row>
    <row r="176" spans="4:9">
      <c r="D176">
        <v>174</v>
      </c>
      <c r="E176" s="1">
        <f t="shared" si="14"/>
        <v>3.0368728984701332</v>
      </c>
      <c r="F176" s="1">
        <f t="shared" si="10"/>
        <v>-16.926442121923476</v>
      </c>
      <c r="G176" s="1">
        <f t="shared" si="11"/>
        <v>-1.4690386652466449</v>
      </c>
      <c r="H176">
        <f t="shared" si="12"/>
        <v>-18.398655064313054</v>
      </c>
      <c r="I176" s="1">
        <f t="shared" si="13"/>
        <v>1.9337765704515941</v>
      </c>
    </row>
    <row r="177" spans="4:9">
      <c r="D177">
        <v>175</v>
      </c>
      <c r="E177" s="1">
        <f t="shared" si="14"/>
        <v>3.0543261909900767</v>
      </c>
      <c r="F177" s="1">
        <f t="shared" si="10"/>
        <v>-17.055955256660791</v>
      </c>
      <c r="G177" s="1">
        <f t="shared" si="11"/>
        <v>-1.329956303527901</v>
      </c>
      <c r="H177">
        <f t="shared" si="12"/>
        <v>-18.429601914697294</v>
      </c>
      <c r="I177" s="1">
        <f t="shared" si="13"/>
        <v>1.6123812408316767</v>
      </c>
    </row>
    <row r="178" spans="4:9">
      <c r="D178">
        <v>176</v>
      </c>
      <c r="E178" s="1">
        <f t="shared" si="14"/>
        <v>3.0717794835100198</v>
      </c>
      <c r="F178" s="1">
        <f t="shared" si="10"/>
        <v>-17.18993113585265</v>
      </c>
      <c r="G178" s="1">
        <f t="shared" si="11"/>
        <v>-1.1411887145592958</v>
      </c>
      <c r="H178">
        <f t="shared" si="12"/>
        <v>-18.454934929806747</v>
      </c>
      <c r="I178" s="1">
        <f t="shared" si="13"/>
        <v>1.2904947642663223</v>
      </c>
    </row>
    <row r="179" spans="4:9">
      <c r="D179">
        <v>177</v>
      </c>
      <c r="E179" s="1">
        <f t="shared" si="14"/>
        <v>3.0892327760299634</v>
      </c>
      <c r="F179" s="1">
        <f t="shared" si="10"/>
        <v>-17.313586689979502</v>
      </c>
      <c r="G179" s="1">
        <f t="shared" si="11"/>
        <v>-0.90488408229391171</v>
      </c>
      <c r="H179">
        <f t="shared" si="12"/>
        <v>-18.474646392959617</v>
      </c>
      <c r="I179" s="1">
        <f t="shared" si="13"/>
        <v>0.96821519049446048</v>
      </c>
    </row>
    <row r="180" spans="4:9">
      <c r="D180">
        <v>178</v>
      </c>
      <c r="E180" s="1">
        <f t="shared" si="14"/>
        <v>3.1066860685499065</v>
      </c>
      <c r="F180" s="1">
        <f t="shared" si="10"/>
        <v>-17.41317771948744</v>
      </c>
      <c r="G180" s="1">
        <f t="shared" si="11"/>
        <v>-0.62805612923999254</v>
      </c>
      <c r="H180">
        <f t="shared" si="12"/>
        <v>-18.488730299853273</v>
      </c>
      <c r="I180" s="1">
        <f t="shared" si="13"/>
        <v>0.64564068899627114</v>
      </c>
    </row>
    <row r="181" spans="4:9">
      <c r="D181">
        <v>179</v>
      </c>
      <c r="E181" s="1">
        <f t="shared" si="14"/>
        <v>3.12413936106985</v>
      </c>
      <c r="F181" s="1">
        <f t="shared" si="10"/>
        <v>-17.47768225016538</v>
      </c>
      <c r="G181" s="1">
        <f t="shared" si="11"/>
        <v>-0.3217711395321694</v>
      </c>
      <c r="H181">
        <f t="shared" si="12"/>
        <v>-18.497182360393239</v>
      </c>
      <c r="I181" s="1">
        <f t="shared" si="13"/>
        <v>0.3228695190897436</v>
      </c>
    </row>
    <row r="182" spans="4:9">
      <c r="D182">
        <v>180</v>
      </c>
      <c r="E182" s="1">
        <f t="shared" si="14"/>
        <v>3.1415926535897931</v>
      </c>
      <c r="F182" s="1">
        <f t="shared" si="10"/>
        <v>-17.5</v>
      </c>
      <c r="G182" s="1">
        <f t="shared" si="11"/>
        <v>1.3473380397477364E-15</v>
      </c>
      <c r="H182">
        <f t="shared" si="12"/>
        <v>-18.5</v>
      </c>
      <c r="I182" s="1">
        <f t="shared" si="13"/>
        <v>2.266524641580947E-15</v>
      </c>
    </row>
    <row r="183" spans="4:9">
      <c r="D183">
        <v>181</v>
      </c>
      <c r="E183" s="1">
        <f t="shared" si="14"/>
        <v>3.1590459461097367</v>
      </c>
      <c r="F183" s="1">
        <f t="shared" si="10"/>
        <v>-17.477682250165383</v>
      </c>
      <c r="G183" s="1">
        <f t="shared" si="11"/>
        <v>0.32177113953217229</v>
      </c>
      <c r="H183">
        <f t="shared" si="12"/>
        <v>-18.497182360393239</v>
      </c>
      <c r="I183" s="1">
        <f t="shared" si="13"/>
        <v>-0.32286951908974726</v>
      </c>
    </row>
    <row r="184" spans="4:9">
      <c r="D184">
        <v>182</v>
      </c>
      <c r="E184" s="1">
        <f t="shared" si="14"/>
        <v>3.1764992386296798</v>
      </c>
      <c r="F184" s="1">
        <f t="shared" si="10"/>
        <v>-17.41317771948744</v>
      </c>
      <c r="G184" s="1">
        <f t="shared" si="11"/>
        <v>0.62805612923998777</v>
      </c>
      <c r="H184">
        <f t="shared" si="12"/>
        <v>-18.488730299853273</v>
      </c>
      <c r="I184" s="1">
        <f t="shared" si="13"/>
        <v>-0.6456406889962667</v>
      </c>
    </row>
    <row r="185" spans="4:9">
      <c r="D185">
        <v>183</v>
      </c>
      <c r="E185" s="1">
        <f t="shared" si="14"/>
        <v>3.1939525311496229</v>
      </c>
      <c r="F185" s="1">
        <f t="shared" si="10"/>
        <v>-17.313586689979502</v>
      </c>
      <c r="G185" s="1">
        <f t="shared" si="11"/>
        <v>0.90488408229390827</v>
      </c>
      <c r="H185">
        <f t="shared" si="12"/>
        <v>-18.474646392959617</v>
      </c>
      <c r="I185" s="1">
        <f t="shared" si="13"/>
        <v>-0.96821519049445581</v>
      </c>
    </row>
    <row r="186" spans="4:9">
      <c r="D186">
        <v>184</v>
      </c>
      <c r="E186" s="1">
        <f t="shared" si="14"/>
        <v>3.2114058236695664</v>
      </c>
      <c r="F186" s="1">
        <f t="shared" si="10"/>
        <v>-17.18993113585265</v>
      </c>
      <c r="G186" s="1">
        <f t="shared" si="11"/>
        <v>1.1411887145592921</v>
      </c>
      <c r="H186">
        <f t="shared" si="12"/>
        <v>-18.454934929806747</v>
      </c>
      <c r="I186" s="1">
        <f t="shared" si="13"/>
        <v>-1.2904947642663176</v>
      </c>
    </row>
    <row r="187" spans="4:9">
      <c r="D187">
        <v>185</v>
      </c>
      <c r="E187" s="1">
        <f t="shared" si="14"/>
        <v>3.2288591161895095</v>
      </c>
      <c r="F187" s="1">
        <f t="shared" si="10"/>
        <v>-17.055955256660791</v>
      </c>
      <c r="G187" s="1">
        <f t="shared" si="11"/>
        <v>1.3299563035278981</v>
      </c>
      <c r="H187">
        <f t="shared" si="12"/>
        <v>-18.429601914697294</v>
      </c>
      <c r="I187" s="1">
        <f t="shared" si="13"/>
        <v>-1.612381240831672</v>
      </c>
    </row>
    <row r="188" spans="4:9">
      <c r="D188">
        <v>186</v>
      </c>
      <c r="E188" s="1">
        <f t="shared" si="14"/>
        <v>3.246312408709453</v>
      </c>
      <c r="F188" s="1">
        <f t="shared" si="10"/>
        <v>-16.926442121923476</v>
      </c>
      <c r="G188" s="1">
        <f t="shared" si="11"/>
        <v>1.4690386652466438</v>
      </c>
      <c r="H188">
        <f t="shared" si="12"/>
        <v>-18.398655064313054</v>
      </c>
      <c r="I188" s="1">
        <f t="shared" si="13"/>
        <v>-1.9337765704515897</v>
      </c>
    </row>
    <row r="189" spans="4:9">
      <c r="D189">
        <v>187</v>
      </c>
      <c r="E189" s="1">
        <f t="shared" si="14"/>
        <v>3.2637657012293961</v>
      </c>
      <c r="F189" s="1">
        <f t="shared" si="10"/>
        <v>-16.814898963563294</v>
      </c>
      <c r="G189" s="1">
        <f t="shared" si="11"/>
        <v>1.5615774137189065</v>
      </c>
      <c r="H189">
        <f t="shared" si="12"/>
        <v>-18.362103805364459</v>
      </c>
      <c r="I189" s="1">
        <f t="shared" si="13"/>
        <v>-2.2545828529952252</v>
      </c>
    </row>
    <row r="190" spans="4:9">
      <c r="D190">
        <v>188</v>
      </c>
      <c r="E190" s="1">
        <f t="shared" si="14"/>
        <v>3.2812189937493397</v>
      </c>
      <c r="F190" s="1">
        <f t="shared" si="10"/>
        <v>-16.72998537871025</v>
      </c>
      <c r="G190" s="1">
        <f t="shared" si="11"/>
        <v>1.6160834202725831</v>
      </c>
      <c r="H190">
        <f t="shared" si="12"/>
        <v>-18.31995927171905</v>
      </c>
      <c r="I190" s="1">
        <f t="shared" si="13"/>
        <v>-2.574702367761212</v>
      </c>
    </row>
    <row r="191" spans="4:9">
      <c r="D191">
        <v>189</v>
      </c>
      <c r="E191" s="1">
        <f t="shared" si="14"/>
        <v>3.2986722862692828</v>
      </c>
      <c r="F191" s="1">
        <f t="shared" si="10"/>
        <v>-16.668182292317837</v>
      </c>
      <c r="G191" s="1">
        <f t="shared" si="11"/>
        <v>1.6466336756401461</v>
      </c>
      <c r="H191">
        <f t="shared" si="12"/>
        <v>-18.272234301010048</v>
      </c>
      <c r="I191" s="1">
        <f t="shared" si="13"/>
        <v>-2.8940376032442687</v>
      </c>
    </row>
    <row r="192" spans="4:9">
      <c r="D192">
        <v>190</v>
      </c>
      <c r="E192" s="1">
        <f t="shared" si="14"/>
        <v>3.3161255787892263</v>
      </c>
      <c r="F192" s="1">
        <f t="shared" si="10"/>
        <v>-16.590850178196256</v>
      </c>
      <c r="G192" s="1">
        <f t="shared" si="11"/>
        <v>1.6767189575474584</v>
      </c>
      <c r="H192">
        <f t="shared" si="12"/>
        <v>-18.218943430725847</v>
      </c>
      <c r="I192" s="1">
        <f t="shared" si="13"/>
        <v>-3.2124912868382136</v>
      </c>
    </row>
    <row r="193" spans="4:9">
      <c r="D193">
        <v>191</v>
      </c>
      <c r="E193" s="1">
        <f t="shared" si="14"/>
        <v>3.3335788713091694</v>
      </c>
      <c r="F193" s="1">
        <f t="shared" si="10"/>
        <v>-16.306903854100604</v>
      </c>
      <c r="G193" s="1">
        <f t="shared" si="11"/>
        <v>1.7919926083072752</v>
      </c>
      <c r="H193">
        <f t="shared" si="12"/>
        <v>-18.160102893781783</v>
      </c>
      <c r="I193" s="1">
        <f t="shared" si="13"/>
        <v>-3.5299664144660774</v>
      </c>
    </row>
    <row r="194" spans="4:9">
      <c r="D194">
        <v>192</v>
      </c>
      <c r="E194" s="1">
        <f t="shared" si="14"/>
        <v>3.351032163829113</v>
      </c>
      <c r="F194" s="1">
        <f t="shared" ref="F194:F257" si="15">($B$1*COS(E194)) - ($B$3*COS(E194 + ATAN(SIN((1-$B$4)*E194) / (($B$1/($B$2*$B$4)) - COS((1-$B$4)*E194))))) - ($B$2*COS($B$4*E194))</f>
        <v>-15.16128781137397</v>
      </c>
      <c r="G194" s="1">
        <f t="shared" ref="G194:G257" si="16">(-$B$1*SIN(E194)) + ($B$3*SIN(E194 + ATAN(SIN((1-$B$4)*E194) / (($B$1/($B$2*$B$4)) - COS((1-$B$4)*E194))))) + ($B$2*SIN($B$4*E194))</f>
        <v>3.2226312076753341</v>
      </c>
      <c r="H194">
        <f t="shared" ref="H194:H257" si="17">$B$1*COS(E194)</f>
        <v>-18.095730613575402</v>
      </c>
      <c r="I194" s="1">
        <f t="shared" ref="I194:I257" si="18">$B$1*SIN(E194)</f>
        <v>-3.8463662801285508</v>
      </c>
    </row>
    <row r="195" spans="4:9">
      <c r="D195">
        <v>193</v>
      </c>
      <c r="E195" s="1">
        <f t="shared" ref="E195:E258" si="19">RADIANS(D195)</f>
        <v>3.3684854563490561</v>
      </c>
      <c r="F195" s="1">
        <f t="shared" si="15"/>
        <v>-15.625967002047775</v>
      </c>
      <c r="G195" s="1">
        <f t="shared" si="16"/>
        <v>4.9955486251284738</v>
      </c>
      <c r="H195">
        <f t="shared" si="17"/>
        <v>-18.025846198526853</v>
      </c>
      <c r="I195" s="1">
        <f t="shared" si="18"/>
        <v>-4.161594505361502</v>
      </c>
    </row>
    <row r="196" spans="4:9">
      <c r="D196">
        <v>194</v>
      </c>
      <c r="E196" s="1">
        <f t="shared" si="19"/>
        <v>3.3859387488689991</v>
      </c>
      <c r="F196" s="1">
        <f t="shared" si="15"/>
        <v>-15.838478858894531</v>
      </c>
      <c r="G196" s="1">
        <f t="shared" si="16"/>
        <v>5.2163477198423696</v>
      </c>
      <c r="H196">
        <f t="shared" si="17"/>
        <v>-17.950470936105933</v>
      </c>
      <c r="I196" s="1">
        <f t="shared" si="18"/>
        <v>-4.4755550685938488</v>
      </c>
    </row>
    <row r="197" spans="4:9">
      <c r="D197">
        <v>195</v>
      </c>
      <c r="E197" s="1">
        <f t="shared" si="19"/>
        <v>3.4033920413889427</v>
      </c>
      <c r="F197" s="1">
        <f t="shared" si="15"/>
        <v>-15.896888473911233</v>
      </c>
      <c r="G197" s="1">
        <f t="shared" si="16"/>
        <v>5.2752857969704561</v>
      </c>
      <c r="H197">
        <f t="shared" si="17"/>
        <v>-17.869627786347763</v>
      </c>
      <c r="I197" s="1">
        <f t="shared" si="18"/>
        <v>-4.788152334396635</v>
      </c>
    </row>
    <row r="198" spans="4:9">
      <c r="D198">
        <v>196</v>
      </c>
      <c r="E198" s="1">
        <f t="shared" si="19"/>
        <v>3.4208453339088858</v>
      </c>
      <c r="F198" s="1">
        <f t="shared" si="15"/>
        <v>-15.940922494440006</v>
      </c>
      <c r="G198" s="1">
        <f t="shared" si="16"/>
        <v>5.3283324238822907</v>
      </c>
      <c r="H198">
        <f t="shared" si="17"/>
        <v>-17.7833413748589</v>
      </c>
      <c r="I198" s="1">
        <f t="shared" si="18"/>
        <v>-5.0992910826144815</v>
      </c>
    </row>
    <row r="199" spans="4:9">
      <c r="D199">
        <v>197</v>
      </c>
      <c r="E199" s="1">
        <f t="shared" si="19"/>
        <v>3.4382986264288293</v>
      </c>
      <c r="F199" s="1">
        <f t="shared" si="15"/>
        <v>-15.996325324041541</v>
      </c>
      <c r="G199" s="1">
        <f t="shared" si="16"/>
        <v>5.4126636050382979</v>
      </c>
      <c r="H199">
        <f t="shared" si="17"/>
        <v>-17.691637985316156</v>
      </c>
      <c r="I199" s="1">
        <f t="shared" si="18"/>
        <v>-5.40887653737063</v>
      </c>
    </row>
    <row r="200" spans="4:9">
      <c r="D200">
        <v>198</v>
      </c>
      <c r="E200" s="1">
        <f t="shared" si="19"/>
        <v>3.4557519189487724</v>
      </c>
      <c r="F200" s="1">
        <f t="shared" si="15"/>
        <v>-16.060586169784553</v>
      </c>
      <c r="G200" s="1">
        <f t="shared" si="16"/>
        <v>5.5425706481505541</v>
      </c>
      <c r="H200">
        <f t="shared" si="17"/>
        <v>-17.594545551460342</v>
      </c>
      <c r="I200" s="1">
        <f t="shared" si="18"/>
        <v>-5.7168143959365247</v>
      </c>
    </row>
    <row r="201" spans="4:9">
      <c r="D201">
        <v>199</v>
      </c>
      <c r="E201" s="1">
        <f t="shared" si="19"/>
        <v>3.473205211468716</v>
      </c>
      <c r="F201" s="1">
        <f t="shared" si="15"/>
        <v>-16.122332412812344</v>
      </c>
      <c r="G201" s="1">
        <f t="shared" si="16"/>
        <v>5.722306445594203</v>
      </c>
      <c r="H201">
        <f t="shared" si="17"/>
        <v>-17.49209364858736</v>
      </c>
      <c r="I201" s="1">
        <f t="shared" si="18"/>
        <v>-6.0230108574574004</v>
      </c>
    </row>
    <row r="202" spans="4:9">
      <c r="D202">
        <v>200</v>
      </c>
      <c r="E202" s="1">
        <f t="shared" si="19"/>
        <v>3.4906585039886591</v>
      </c>
      <c r="F202" s="1">
        <f t="shared" si="15"/>
        <v>-16.167946773223139</v>
      </c>
      <c r="G202" s="1">
        <f t="shared" si="16"/>
        <v>5.9492471184022451</v>
      </c>
      <c r="H202">
        <f t="shared" si="17"/>
        <v>-17.384313484539305</v>
      </c>
      <c r="I202" s="1">
        <f t="shared" si="18"/>
        <v>-6.3273726515248701</v>
      </c>
    </row>
    <row r="203" spans="4:9">
      <c r="D203">
        <v>201</v>
      </c>
      <c r="E203" s="1">
        <f t="shared" si="19"/>
        <v>3.5081117965086026</v>
      </c>
      <c r="F203" s="1">
        <f t="shared" si="15"/>
        <v>-16.18479799013712</v>
      </c>
      <c r="G203" s="1">
        <f t="shared" si="16"/>
        <v>6.2154173868114198</v>
      </c>
      <c r="H203">
        <f t="shared" si="17"/>
        <v>-17.271237890198233</v>
      </c>
      <c r="I203" s="1">
        <f t="shared" si="18"/>
        <v>-6.6298070665880582</v>
      </c>
    </row>
    <row r="204" spans="4:9">
      <c r="D204">
        <v>202</v>
      </c>
      <c r="E204" s="1">
        <f t="shared" si="19"/>
        <v>3.5255650890285457</v>
      </c>
      <c r="F204" s="1">
        <f t="shared" si="15"/>
        <v>-16.163182850431348</v>
      </c>
      <c r="G204" s="1">
        <f t="shared" si="16"/>
        <v>6.5088196268948542</v>
      </c>
      <c r="H204">
        <f t="shared" si="17"/>
        <v>-17.152901309485568</v>
      </c>
      <c r="I204" s="1">
        <f t="shared" si="18"/>
        <v>-6.9302219781943721</v>
      </c>
    </row>
    <row r="205" spans="4:9">
      <c r="D205">
        <v>203</v>
      </c>
      <c r="E205" s="1">
        <f t="shared" si="19"/>
        <v>3.5430183815484888</v>
      </c>
      <c r="F205" s="1">
        <f t="shared" si="15"/>
        <v>-16.097533342891282</v>
      </c>
      <c r="G205" s="1">
        <f t="shared" si="16"/>
        <v>6.8148612442576662</v>
      </c>
      <c r="H205">
        <f t="shared" si="17"/>
        <v>-17.029339788870146</v>
      </c>
      <c r="I205" s="1">
        <f t="shared" si="18"/>
        <v>-7.2285258770515606</v>
      </c>
    </row>
    <row r="206" spans="4:9">
      <c r="D206">
        <v>204</v>
      </c>
      <c r="E206" s="1">
        <f t="shared" si="19"/>
        <v>3.5604716740684323</v>
      </c>
      <c r="F206" s="1">
        <f t="shared" si="15"/>
        <v>-15.987045508745515</v>
      </c>
      <c r="G206" s="1">
        <f t="shared" si="16"/>
        <v>7.1178912538265022</v>
      </c>
      <c r="H206">
        <f t="shared" si="17"/>
        <v>-16.900590966388116</v>
      </c>
      <c r="I206" s="1">
        <f t="shared" si="18"/>
        <v>-7.5246278969023042</v>
      </c>
    </row>
    <row r="207" spans="4:9">
      <c r="D207">
        <v>205</v>
      </c>
      <c r="E207" s="1">
        <f t="shared" si="19"/>
        <v>3.5779249665883754</v>
      </c>
      <c r="F207" s="1">
        <f t="shared" si="15"/>
        <v>-15.835781116627306</v>
      </c>
      <c r="G207" s="1">
        <f t="shared" si="16"/>
        <v>7.4027663700978614</v>
      </c>
      <c r="H207">
        <f t="shared" si="17"/>
        <v>-16.766694060178025</v>
      </c>
      <c r="I207" s="1">
        <f t="shared" si="18"/>
        <v>-7.8184378422029361</v>
      </c>
    </row>
    <row r="208" spans="4:9">
      <c r="D208">
        <v>206</v>
      </c>
      <c r="E208" s="1">
        <f t="shared" si="19"/>
        <v>3.595378259108319</v>
      </c>
      <c r="F208" s="1">
        <f t="shared" si="15"/>
        <v>-15.652275967090841</v>
      </c>
      <c r="G208" s="1">
        <f t="shared" si="16"/>
        <v>7.6563352749184217</v>
      </c>
      <c r="H208">
        <f t="shared" si="17"/>
        <v>-16.627689856534587</v>
      </c>
      <c r="I208" s="1">
        <f t="shared" si="18"/>
        <v>-8.1098662155979326</v>
      </c>
    </row>
    <row r="209" spans="4:9">
      <c r="D209">
        <v>207</v>
      </c>
      <c r="E209" s="1">
        <f t="shared" si="19"/>
        <v>3.6128315516282621</v>
      </c>
      <c r="F209" s="1">
        <f t="shared" si="15"/>
        <v>-15.448698962127215</v>
      </c>
      <c r="G209" s="1">
        <f t="shared" si="16"/>
        <v>7.8687228729568135</v>
      </c>
      <c r="H209">
        <f t="shared" si="17"/>
        <v>-16.483620697484806</v>
      </c>
      <c r="I209" s="1">
        <f t="shared" si="18"/>
        <v>-8.3988242451816131</v>
      </c>
    </row>
    <row r="210" spans="4:9">
      <c r="D210">
        <v>208</v>
      </c>
      <c r="E210" s="1">
        <f t="shared" si="19"/>
        <v>3.6302848441482056</v>
      </c>
      <c r="F210" s="1">
        <f t="shared" si="15"/>
        <v>-15.239620239471469</v>
      </c>
      <c r="G210" s="1">
        <f t="shared" si="16"/>
        <v>8.0343026513995284</v>
      </c>
      <c r="H210">
        <f t="shared" si="17"/>
        <v>-16.334530467890147</v>
      </c>
      <c r="I210" s="1">
        <f t="shared" si="18"/>
        <v>-8.6852239115389818</v>
      </c>
    </row>
    <row r="211" spans="4:9">
      <c r="D211">
        <v>209</v>
      </c>
      <c r="E211" s="1">
        <f t="shared" si="19"/>
        <v>3.6477381366681487</v>
      </c>
      <c r="F211" s="1">
        <f t="shared" si="15"/>
        <v>-15.040448488143472</v>
      </c>
      <c r="G211" s="1">
        <f t="shared" si="16"/>
        <v>8.1522575254963137</v>
      </c>
      <c r="H211">
        <f t="shared" si="17"/>
        <v>-16.180464582078823</v>
      </c>
      <c r="I211" s="1">
        <f t="shared" si="18"/>
        <v>-8.9689779745572338</v>
      </c>
    </row>
    <row r="212" spans="4:9">
      <c r="D212">
        <v>210</v>
      </c>
      <c r="E212" s="1">
        <f t="shared" si="19"/>
        <v>3.6651914291880923</v>
      </c>
      <c r="F212" s="1">
        <f t="shared" si="15"/>
        <v>-14.865562459282604</v>
      </c>
      <c r="G212" s="1">
        <f t="shared" si="16"/>
        <v>8.2266378476254012</v>
      </c>
      <c r="H212">
        <f t="shared" si="17"/>
        <v>-16.021469970012113</v>
      </c>
      <c r="I212" s="1">
        <f t="shared" si="18"/>
        <v>-9.2500000000000018</v>
      </c>
    </row>
    <row r="213" spans="4:9">
      <c r="D213">
        <v>211</v>
      </c>
      <c r="E213" s="1">
        <f t="shared" si="19"/>
        <v>3.6826447217080354</v>
      </c>
      <c r="F213" s="1">
        <f t="shared" si="15"/>
        <v>-14.726023813723502</v>
      </c>
      <c r="G213" s="1">
        <f t="shared" si="16"/>
        <v>8.2658075111586733</v>
      </c>
      <c r="H213">
        <f t="shared" si="17"/>
        <v>-15.857595062989079</v>
      </c>
      <c r="I213" s="1">
        <f t="shared" si="18"/>
        <v>-9.5282043858360019</v>
      </c>
    </row>
    <row r="214" spans="4:9">
      <c r="D214">
        <v>212</v>
      </c>
      <c r="E214" s="1">
        <f t="shared" si="19"/>
        <v>3.7000980142279785</v>
      </c>
      <c r="F214" s="1">
        <f t="shared" si="15"/>
        <v>-14.626281803855754</v>
      </c>
      <c r="G214" s="1">
        <f t="shared" si="16"/>
        <v>8.2810637594053631</v>
      </c>
      <c r="H214">
        <f t="shared" si="17"/>
        <v>-15.688889778893882</v>
      </c>
      <c r="I214" s="1">
        <f t="shared" si="18"/>
        <v>-9.8035063883142879</v>
      </c>
    </row>
    <row r="215" spans="4:9">
      <c r="D215">
        <v>213</v>
      </c>
      <c r="E215" s="1">
        <f t="shared" si="19"/>
        <v>3.717551306747922</v>
      </c>
      <c r="F215" s="1">
        <f t="shared" si="15"/>
        <v>-14.557395966700355</v>
      </c>
      <c r="G215" s="1">
        <f t="shared" si="16"/>
        <v>8.2838352265352491</v>
      </c>
      <c r="H215">
        <f t="shared" si="17"/>
        <v>-15.515405506990344</v>
      </c>
      <c r="I215" s="1">
        <f t="shared" si="18"/>
        <v>-10.075822147778002</v>
      </c>
    </row>
    <row r="216" spans="4:9">
      <c r="D216">
        <v>214</v>
      </c>
      <c r="E216" s="1">
        <f t="shared" si="19"/>
        <v>3.7350045992678651</v>
      </c>
      <c r="F216" s="1">
        <f t="shared" si="15"/>
        <v>-14.474512778545723</v>
      </c>
      <c r="G216" s="1">
        <f t="shared" si="16"/>
        <v>8.2798656946638047</v>
      </c>
      <c r="H216">
        <f t="shared" si="17"/>
        <v>-15.337195092268274</v>
      </c>
      <c r="I216" s="1">
        <f t="shared" si="18"/>
        <v>-10.345068714208814</v>
      </c>
    </row>
    <row r="217" spans="4:9">
      <c r="D217">
        <v>215</v>
      </c>
      <c r="E217" s="1">
        <f t="shared" si="19"/>
        <v>3.7524578917878086</v>
      </c>
      <c r="F217" s="1">
        <f t="shared" si="15"/>
        <v>-14.168228886208666</v>
      </c>
      <c r="G217" s="1">
        <f t="shared" si="16"/>
        <v>8.2696820400249376</v>
      </c>
      <c r="H217">
        <f t="shared" si="17"/>
        <v>-15.154312819346348</v>
      </c>
      <c r="I217" s="1">
        <f t="shared" si="18"/>
        <v>-10.611164072494354</v>
      </c>
    </row>
    <row r="218" spans="4:9">
      <c r="D218">
        <v>216</v>
      </c>
      <c r="E218" s="1">
        <f t="shared" si="19"/>
        <v>3.7699111843077517</v>
      </c>
      <c r="F218" s="1">
        <f t="shared" si="15"/>
        <v>-12.539763412811702</v>
      </c>
      <c r="G218" s="1">
        <f t="shared" si="16"/>
        <v>9.1106714105333122</v>
      </c>
      <c r="H218">
        <f t="shared" si="17"/>
        <v>-14.966814395936529</v>
      </c>
      <c r="I218" s="1">
        <f t="shared" si="18"/>
        <v>-10.874027167410752</v>
      </c>
    </row>
    <row r="219" spans="4:9">
      <c r="D219">
        <v>217</v>
      </c>
      <c r="E219" s="1">
        <f t="shared" si="19"/>
        <v>3.7873644768276953</v>
      </c>
      <c r="F219" s="1">
        <f t="shared" si="15"/>
        <v>-12.243158497887228</v>
      </c>
      <c r="G219" s="1">
        <f t="shared" si="16"/>
        <v>10.919314118144992</v>
      </c>
      <c r="H219">
        <f t="shared" si="17"/>
        <v>-14.774756935874917</v>
      </c>
      <c r="I219" s="1">
        <f t="shared" si="18"/>
        <v>-11.133577928312896</v>
      </c>
    </row>
    <row r="220" spans="4:9">
      <c r="D220">
        <v>218</v>
      </c>
      <c r="E220" s="1">
        <f t="shared" si="19"/>
        <v>3.8048177693476384</v>
      </c>
      <c r="F220" s="1">
        <f t="shared" si="15"/>
        <v>-12.347490656826677</v>
      </c>
      <c r="G220" s="1">
        <f t="shared" si="16"/>
        <v>11.20746048744013</v>
      </c>
      <c r="H220">
        <f t="shared" si="17"/>
        <v>-14.578198941724358</v>
      </c>
      <c r="I220" s="1">
        <f t="shared" si="18"/>
        <v>-11.389737293524677</v>
      </c>
    </row>
    <row r="221" spans="4:9">
      <c r="D221">
        <v>219</v>
      </c>
      <c r="E221" s="1">
        <f t="shared" si="19"/>
        <v>3.8222710618675819</v>
      </c>
      <c r="F221" s="1">
        <f t="shared" si="15"/>
        <v>-12.376878219667413</v>
      </c>
      <c r="G221" s="1">
        <f t="shared" si="16"/>
        <v>11.285060430817925</v>
      </c>
      <c r="H221">
        <f t="shared" si="17"/>
        <v>-14.377200286953959</v>
      </c>
      <c r="I221" s="1">
        <f t="shared" si="18"/>
        <v>-11.642427234421996</v>
      </c>
    </row>
    <row r="222" spans="4:9">
      <c r="D222">
        <v>220</v>
      </c>
      <c r="E222" s="1">
        <f t="shared" si="19"/>
        <v>3.839724354387525</v>
      </c>
      <c r="F222" s="1">
        <f t="shared" si="15"/>
        <v>-12.395529292146602</v>
      </c>
      <c r="G222" s="1">
        <f t="shared" si="16"/>
        <v>11.351431185567495</v>
      </c>
      <c r="H222">
        <f t="shared" si="17"/>
        <v>-14.171822197701093</v>
      </c>
      <c r="I222" s="1">
        <f t="shared" si="18"/>
        <v>-11.891570779200975</v>
      </c>
    </row>
    <row r="223" spans="4:9">
      <c r="D223">
        <v>221</v>
      </c>
      <c r="E223" s="1">
        <f t="shared" si="19"/>
        <v>3.8571776469074681</v>
      </c>
      <c r="F223" s="1">
        <f t="shared" si="15"/>
        <v>-12.411841713939618</v>
      </c>
      <c r="G223" s="1">
        <f t="shared" si="16"/>
        <v>11.451005913979223</v>
      </c>
      <c r="H223">
        <f t="shared" si="17"/>
        <v>-13.962127234121285</v>
      </c>
      <c r="I223" s="1">
        <f t="shared" si="18"/>
        <v>-12.137092036324381</v>
      </c>
    </row>
    <row r="224" spans="4:9">
      <c r="D224">
        <v>222</v>
      </c>
      <c r="E224" s="1">
        <f t="shared" si="19"/>
        <v>3.8746309394274117</v>
      </c>
      <c r="F224" s="1">
        <f t="shared" si="15"/>
        <v>-12.417708963045037</v>
      </c>
      <c r="G224" s="1">
        <f t="shared" si="16"/>
        <v>11.595819143808942</v>
      </c>
      <c r="H224">
        <f t="shared" si="17"/>
        <v>-13.748179271331793</v>
      </c>
      <c r="I224" s="1">
        <f t="shared" si="18"/>
        <v>-12.378916217638878</v>
      </c>
    </row>
    <row r="225" spans="4:9">
      <c r="D225">
        <v>223</v>
      </c>
      <c r="E225" s="1">
        <f t="shared" si="19"/>
        <v>3.8920842319473548</v>
      </c>
      <c r="F225" s="1">
        <f t="shared" si="15"/>
        <v>-12.401011827996788</v>
      </c>
      <c r="G225" s="1">
        <f t="shared" si="16"/>
        <v>11.785130424751021</v>
      </c>
      <c r="H225">
        <f t="shared" si="17"/>
        <v>-13.530043479954655</v>
      </c>
      <c r="I225" s="1">
        <f t="shared" si="18"/>
        <v>-12.616969661156221</v>
      </c>
    </row>
    <row r="226" spans="4:9">
      <c r="D226">
        <v>224</v>
      </c>
      <c r="E226" s="1">
        <f t="shared" si="19"/>
        <v>3.9095375244672983</v>
      </c>
      <c r="F226" s="1">
        <f t="shared" si="15"/>
        <v>-12.350377532318038</v>
      </c>
      <c r="G226" s="1">
        <f t="shared" si="16"/>
        <v>12.011004077378699</v>
      </c>
      <c r="H226">
        <f t="shared" si="17"/>
        <v>-13.307786306265045</v>
      </c>
      <c r="I226" s="1">
        <f t="shared" si="18"/>
        <v>-12.851179853491452</v>
      </c>
    </row>
    <row r="227" spans="4:9">
      <c r="D227">
        <v>225</v>
      </c>
      <c r="E227" s="1">
        <f t="shared" si="19"/>
        <v>3.9269908169872414</v>
      </c>
      <c r="F227" s="1">
        <f t="shared" si="15"/>
        <v>-12.257510683526224</v>
      </c>
      <c r="G227" s="1">
        <f t="shared" si="16"/>
        <v>12.261016724442745</v>
      </c>
      <c r="H227">
        <f t="shared" si="17"/>
        <v>-13.081475451951132</v>
      </c>
      <c r="I227" s="1">
        <f t="shared" si="18"/>
        <v>-13.081475451951128</v>
      </c>
    </row>
    <row r="228" spans="4:9">
      <c r="D228">
        <v>226</v>
      </c>
      <c r="E228" s="1">
        <f t="shared" si="19"/>
        <v>3.9444441095071849</v>
      </c>
      <c r="F228" s="1">
        <f t="shared" si="15"/>
        <v>-12.118426828629246</v>
      </c>
      <c r="G228" s="1">
        <f t="shared" si="16"/>
        <v>12.520261338769595</v>
      </c>
      <c r="H228">
        <f t="shared" si="17"/>
        <v>-12.851179853491448</v>
      </c>
      <c r="I228" s="1">
        <f t="shared" si="18"/>
        <v>-13.307786306265047</v>
      </c>
    </row>
    <row r="229" spans="4:9">
      <c r="D229">
        <v>227</v>
      </c>
      <c r="E229" s="1">
        <f t="shared" si="19"/>
        <v>3.961897402027128</v>
      </c>
      <c r="F229" s="1">
        <f t="shared" si="15"/>
        <v>-11.933974679131916</v>
      </c>
      <c r="G229" s="1">
        <f t="shared" si="16"/>
        <v>12.773142207844558</v>
      </c>
      <c r="H229">
        <f t="shared" si="17"/>
        <v>-12.616969661156224</v>
      </c>
      <c r="I229" s="1">
        <f t="shared" si="18"/>
        <v>-13.530043479954653</v>
      </c>
    </row>
    <row r="230" spans="4:9">
      <c r="D230">
        <v>228</v>
      </c>
      <c r="E230" s="1">
        <f t="shared" si="19"/>
        <v>3.9793506945470716</v>
      </c>
      <c r="F230" s="1">
        <f t="shared" si="15"/>
        <v>-11.709785611280017</v>
      </c>
      <c r="G230" s="1">
        <f t="shared" si="16"/>
        <v>13.005034445854401</v>
      </c>
      <c r="H230">
        <f t="shared" si="17"/>
        <v>-12.378916217638876</v>
      </c>
      <c r="I230" s="1">
        <f t="shared" si="18"/>
        <v>-13.748179271331795</v>
      </c>
    </row>
    <row r="231" spans="4:9">
      <c r="D231">
        <v>229</v>
      </c>
      <c r="E231" s="1">
        <f t="shared" si="19"/>
        <v>3.9968039870670147</v>
      </c>
      <c r="F231" s="1">
        <f t="shared" si="15"/>
        <v>-11.455729564469319</v>
      </c>
      <c r="G231" s="1">
        <f t="shared" si="16"/>
        <v>13.203756043252444</v>
      </c>
      <c r="H231">
        <f t="shared" si="17"/>
        <v>-12.137092036324384</v>
      </c>
      <c r="I231" s="1">
        <f t="shared" si="18"/>
        <v>-13.962127234121283</v>
      </c>
    </row>
    <row r="232" spans="4:9">
      <c r="D232">
        <v>230</v>
      </c>
      <c r="E232" s="1">
        <f t="shared" si="19"/>
        <v>4.0142572795869578</v>
      </c>
      <c r="F232" s="1">
        <f t="shared" si="15"/>
        <v>-11.184953503521136</v>
      </c>
      <c r="G232" s="1">
        <f t="shared" si="16"/>
        <v>13.360764495941091</v>
      </c>
      <c r="H232">
        <f t="shared" si="17"/>
        <v>-11.891570779200981</v>
      </c>
      <c r="I232" s="1">
        <f t="shared" si="18"/>
        <v>-14.171822197701092</v>
      </c>
    </row>
    <row r="233" spans="4:9">
      <c r="D233">
        <v>231</v>
      </c>
      <c r="E233" s="1">
        <f t="shared" si="19"/>
        <v>4.0317105721069009</v>
      </c>
      <c r="F233" s="1">
        <f t="shared" si="15"/>
        <v>-10.912590836699062</v>
      </c>
      <c r="G233" s="1">
        <f t="shared" si="16"/>
        <v>13.471987993782355</v>
      </c>
      <c r="H233">
        <f t="shared" si="17"/>
        <v>-11.642427234422</v>
      </c>
      <c r="I233" s="1">
        <f t="shared" si="18"/>
        <v>-14.377200286953956</v>
      </c>
    </row>
    <row r="234" spans="4:9">
      <c r="D234">
        <v>232</v>
      </c>
      <c r="E234" s="1">
        <f t="shared" si="19"/>
        <v>4.0491638646268449</v>
      </c>
      <c r="F234" s="1">
        <f t="shared" si="15"/>
        <v>-10.654240556082158</v>
      </c>
      <c r="G234" s="1">
        <f t="shared" si="16"/>
        <v>13.538212670464592</v>
      </c>
      <c r="H234">
        <f t="shared" si="17"/>
        <v>-11.389737293524675</v>
      </c>
      <c r="I234" s="1">
        <f t="shared" si="18"/>
        <v>-14.578198941724359</v>
      </c>
    </row>
    <row r="235" spans="4:9">
      <c r="D235">
        <v>233</v>
      </c>
      <c r="E235" s="1">
        <f t="shared" si="19"/>
        <v>4.066617157146788</v>
      </c>
      <c r="F235" s="1">
        <f t="shared" si="15"/>
        <v>-10.424311537841188</v>
      </c>
      <c r="G235" s="1">
        <f t="shared" si="16"/>
        <v>13.564959360371835</v>
      </c>
      <c r="H235">
        <f t="shared" si="17"/>
        <v>-11.133577928312892</v>
      </c>
      <c r="I235" s="1">
        <f t="shared" si="18"/>
        <v>-14.774756935874917</v>
      </c>
    </row>
    <row r="236" spans="4:9">
      <c r="D236">
        <v>234</v>
      </c>
      <c r="E236" s="1">
        <f t="shared" si="19"/>
        <v>4.0840704496667311</v>
      </c>
      <c r="F236" s="1">
        <f t="shared" si="15"/>
        <v>-10.234291998036513</v>
      </c>
      <c r="G236" s="1">
        <f t="shared" si="16"/>
        <v>13.561776609491133</v>
      </c>
      <c r="H236">
        <f t="shared" si="17"/>
        <v>-10.874027167410755</v>
      </c>
      <c r="I236" s="1">
        <f t="shared" si="18"/>
        <v>-14.966814395936526</v>
      </c>
    </row>
    <row r="237" spans="4:9">
      <c r="D237">
        <v>235</v>
      </c>
      <c r="E237" s="1">
        <f t="shared" si="19"/>
        <v>4.1015237421866741</v>
      </c>
      <c r="F237" s="1">
        <f t="shared" si="15"/>
        <v>-10.090885364764466</v>
      </c>
      <c r="G237" s="1">
        <f t="shared" si="16"/>
        <v>13.54080439741529</v>
      </c>
      <c r="H237">
        <f t="shared" si="17"/>
        <v>-10.611164072494358</v>
      </c>
      <c r="I237" s="1">
        <f t="shared" si="18"/>
        <v>-15.154312819346345</v>
      </c>
    </row>
    <row r="238" spans="4:9">
      <c r="D238">
        <v>236</v>
      </c>
      <c r="E238" s="1">
        <f t="shared" si="19"/>
        <v>4.1189770347066181</v>
      </c>
      <c r="F238" s="1">
        <f t="shared" si="15"/>
        <v>-9.9935612295158425</v>
      </c>
      <c r="G238" s="1">
        <f t="shared" si="16"/>
        <v>13.514172943434476</v>
      </c>
      <c r="H238">
        <f t="shared" si="17"/>
        <v>-10.345068714208811</v>
      </c>
      <c r="I238" s="1">
        <f t="shared" si="18"/>
        <v>-15.337195092268274</v>
      </c>
    </row>
    <row r="239" spans="4:9">
      <c r="D239">
        <v>237</v>
      </c>
      <c r="E239" s="1">
        <f t="shared" si="19"/>
        <v>4.1364303272265612</v>
      </c>
      <c r="F239" s="1">
        <f t="shared" si="15"/>
        <v>-9.9295036286498171</v>
      </c>
      <c r="G239" s="1">
        <f t="shared" si="16"/>
        <v>13.488686410481936</v>
      </c>
      <c r="H239">
        <f t="shared" si="17"/>
        <v>-10.075822147777998</v>
      </c>
      <c r="I239" s="1">
        <f t="shared" si="18"/>
        <v>-15.515405506990344</v>
      </c>
    </row>
    <row r="240" spans="4:9">
      <c r="D240">
        <v>238</v>
      </c>
      <c r="E240" s="1">
        <f t="shared" si="19"/>
        <v>4.1538836197465043</v>
      </c>
      <c r="F240" s="1">
        <f t="shared" si="15"/>
        <v>-9.8554006226641899</v>
      </c>
      <c r="G240" s="1">
        <f t="shared" si="16"/>
        <v>13.451348432954378</v>
      </c>
      <c r="H240">
        <f t="shared" si="17"/>
        <v>-9.8035063883142932</v>
      </c>
      <c r="I240" s="1">
        <f t="shared" si="18"/>
        <v>-15.688889778893881</v>
      </c>
    </row>
    <row r="241" spans="4:9">
      <c r="D241">
        <v>239</v>
      </c>
      <c r="E241" s="1">
        <f t="shared" si="19"/>
        <v>4.1713369122664474</v>
      </c>
      <c r="F241" s="1">
        <f t="shared" si="15"/>
        <v>-9.579738429572652</v>
      </c>
      <c r="G241" s="1">
        <f t="shared" si="16"/>
        <v>13.317468319319481</v>
      </c>
      <c r="H241">
        <f t="shared" si="17"/>
        <v>-9.5282043858360073</v>
      </c>
      <c r="I241" s="1">
        <f t="shared" si="18"/>
        <v>-15.857595062989073</v>
      </c>
    </row>
    <row r="242" spans="4:9">
      <c r="D242">
        <v>240</v>
      </c>
      <c r="E242" s="1">
        <f t="shared" si="19"/>
        <v>4.1887902047863905</v>
      </c>
      <c r="F242" s="1">
        <f t="shared" si="15"/>
        <v>-7.7500000000001075</v>
      </c>
      <c r="G242" s="1">
        <f t="shared" si="16"/>
        <v>13.423393758658735</v>
      </c>
      <c r="H242">
        <f t="shared" si="17"/>
        <v>-9.2500000000000089</v>
      </c>
      <c r="I242" s="1">
        <f t="shared" si="18"/>
        <v>-16.021469970012109</v>
      </c>
    </row>
    <row r="243" spans="4:9">
      <c r="D243">
        <v>241</v>
      </c>
      <c r="E243" s="1">
        <f t="shared" si="19"/>
        <v>4.2062434973063345</v>
      </c>
      <c r="F243" s="1">
        <f t="shared" si="15"/>
        <v>-6.7433966638387988</v>
      </c>
      <c r="G243" s="1">
        <f t="shared" si="16"/>
        <v>14.955031001279707</v>
      </c>
      <c r="H243">
        <f t="shared" si="17"/>
        <v>-8.968977974557232</v>
      </c>
      <c r="I243" s="1">
        <f t="shared" si="18"/>
        <v>-16.180464582078827</v>
      </c>
    </row>
    <row r="244" spans="4:9">
      <c r="D244">
        <v>242</v>
      </c>
      <c r="E244" s="1">
        <f t="shared" si="19"/>
        <v>4.2236967898262776</v>
      </c>
      <c r="F244" s="1">
        <f t="shared" si="15"/>
        <v>-6.7215091467623944</v>
      </c>
      <c r="G244" s="1">
        <f t="shared" si="16"/>
        <v>15.260701520177353</v>
      </c>
      <c r="H244">
        <f t="shared" si="17"/>
        <v>-8.6852239115389782</v>
      </c>
      <c r="I244" s="1">
        <f t="shared" si="18"/>
        <v>-16.334530467890151</v>
      </c>
    </row>
    <row r="245" spans="4:9">
      <c r="D245">
        <v>243</v>
      </c>
      <c r="E245" s="1">
        <f t="shared" si="19"/>
        <v>4.2411500823462207</v>
      </c>
      <c r="F245" s="1">
        <f t="shared" si="15"/>
        <v>-6.7167932808343807</v>
      </c>
      <c r="G245" s="1">
        <f t="shared" si="16"/>
        <v>15.343545594621478</v>
      </c>
      <c r="H245">
        <f t="shared" si="17"/>
        <v>-8.3988242451816184</v>
      </c>
      <c r="I245" s="1">
        <f t="shared" si="18"/>
        <v>-16.483620697484803</v>
      </c>
    </row>
    <row r="246" spans="4:9">
      <c r="D246">
        <v>244</v>
      </c>
      <c r="E246" s="1">
        <f t="shared" si="19"/>
        <v>4.2586033748661638</v>
      </c>
      <c r="F246" s="1">
        <f t="shared" si="15"/>
        <v>-6.7068364653926578</v>
      </c>
      <c r="G246" s="1">
        <f t="shared" si="16"/>
        <v>15.411764370753207</v>
      </c>
      <c r="H246">
        <f t="shared" si="17"/>
        <v>-8.109866215597938</v>
      </c>
      <c r="I246" s="1">
        <f t="shared" si="18"/>
        <v>-16.627689856534587</v>
      </c>
    </row>
    <row r="247" spans="4:9">
      <c r="D247">
        <v>245</v>
      </c>
      <c r="E247" s="1">
        <f t="shared" si="19"/>
        <v>4.2760566673861078</v>
      </c>
      <c r="F247" s="1">
        <f t="shared" si="15"/>
        <v>-6.681237913455444</v>
      </c>
      <c r="G247" s="1">
        <f t="shared" si="16"/>
        <v>15.509365271270276</v>
      </c>
      <c r="H247">
        <f t="shared" si="17"/>
        <v>-7.8184378422029344</v>
      </c>
      <c r="I247" s="1">
        <f t="shared" si="18"/>
        <v>-16.766694060178025</v>
      </c>
    </row>
    <row r="248" spans="4:9">
      <c r="D248">
        <v>246</v>
      </c>
      <c r="E248" s="1">
        <f t="shared" si="19"/>
        <v>4.2935099599060509</v>
      </c>
      <c r="F248" s="1">
        <f t="shared" si="15"/>
        <v>-6.6276970652506577</v>
      </c>
      <c r="G248" s="1">
        <f t="shared" si="16"/>
        <v>15.644045164792987</v>
      </c>
      <c r="H248">
        <f t="shared" si="17"/>
        <v>-7.5246278969023015</v>
      </c>
      <c r="I248" s="1">
        <f t="shared" si="18"/>
        <v>-16.900590966388119</v>
      </c>
    </row>
    <row r="249" spans="4:9">
      <c r="D249">
        <v>247</v>
      </c>
      <c r="E249" s="1">
        <f t="shared" si="19"/>
        <v>4.310963252425994</v>
      </c>
      <c r="F249" s="1">
        <f t="shared" si="15"/>
        <v>-6.5354436384649279</v>
      </c>
      <c r="G249" s="1">
        <f t="shared" si="16"/>
        <v>15.810198288919615</v>
      </c>
      <c r="H249">
        <f t="shared" si="17"/>
        <v>-7.2285258770515659</v>
      </c>
      <c r="I249" s="1">
        <f t="shared" si="18"/>
        <v>-17.029339788870146</v>
      </c>
    </row>
    <row r="250" spans="4:9">
      <c r="D250">
        <v>248</v>
      </c>
      <c r="E250" s="1">
        <f t="shared" si="19"/>
        <v>4.3284165449459371</v>
      </c>
      <c r="F250" s="1">
        <f t="shared" si="15"/>
        <v>-6.3973158164176205</v>
      </c>
      <c r="G250" s="1">
        <f t="shared" si="16"/>
        <v>15.99594931482989</v>
      </c>
      <c r="H250">
        <f t="shared" si="17"/>
        <v>-6.9302219781943775</v>
      </c>
      <c r="I250" s="1">
        <f t="shared" si="18"/>
        <v>-17.152901309485564</v>
      </c>
    </row>
    <row r="251" spans="4:9">
      <c r="D251">
        <v>249</v>
      </c>
      <c r="E251" s="1">
        <f t="shared" si="19"/>
        <v>4.3458698374658802</v>
      </c>
      <c r="F251" s="1">
        <f t="shared" si="15"/>
        <v>-6.2107884237449511</v>
      </c>
      <c r="G251" s="1">
        <f t="shared" si="16"/>
        <v>16.18657488257784</v>
      </c>
      <c r="H251">
        <f t="shared" si="17"/>
        <v>-6.6298070665880635</v>
      </c>
      <c r="I251" s="1">
        <f t="shared" si="18"/>
        <v>-17.271237890198229</v>
      </c>
    </row>
    <row r="252" spans="4:9">
      <c r="D252">
        <v>250</v>
      </c>
      <c r="E252" s="1">
        <f t="shared" si="19"/>
        <v>4.3633231299858242</v>
      </c>
      <c r="F252" s="1">
        <f t="shared" si="15"/>
        <v>-5.9782847157056054</v>
      </c>
      <c r="G252" s="1">
        <f t="shared" si="16"/>
        <v>16.366836122167609</v>
      </c>
      <c r="H252">
        <f t="shared" si="17"/>
        <v>-6.3273726515248683</v>
      </c>
      <c r="I252" s="1">
        <f t="shared" si="18"/>
        <v>-17.384313484539305</v>
      </c>
    </row>
    <row r="253" spans="4:9">
      <c r="D253">
        <v>251</v>
      </c>
      <c r="E253" s="1">
        <f t="shared" si="19"/>
        <v>4.3807764225057673</v>
      </c>
      <c r="F253" s="1">
        <f t="shared" si="15"/>
        <v>-5.7069233765942675</v>
      </c>
      <c r="G253" s="1">
        <f t="shared" si="16"/>
        <v>16.52283084334109</v>
      </c>
      <c r="H253">
        <f t="shared" si="17"/>
        <v>-6.0230108574573977</v>
      </c>
      <c r="I253" s="1">
        <f t="shared" si="18"/>
        <v>-17.49209364858736</v>
      </c>
    </row>
    <row r="254" spans="4:9">
      <c r="D254">
        <v>252</v>
      </c>
      <c r="E254" s="1">
        <f t="shared" si="19"/>
        <v>4.3982297150257104</v>
      </c>
      <c r="F254" s="1">
        <f t="shared" si="15"/>
        <v>-5.4077974015615871</v>
      </c>
      <c r="G254" s="1">
        <f t="shared" si="16"/>
        <v>16.643489035165185</v>
      </c>
      <c r="H254">
        <f t="shared" si="17"/>
        <v>-5.7168143959365301</v>
      </c>
      <c r="I254" s="1">
        <f t="shared" si="18"/>
        <v>-17.594545551460339</v>
      </c>
    </row>
    <row r="255" spans="4:9">
      <c r="D255">
        <v>253</v>
      </c>
      <c r="E255" s="1">
        <f t="shared" si="19"/>
        <v>4.4156830075456535</v>
      </c>
      <c r="F255" s="1">
        <f t="shared" si="15"/>
        <v>-5.094878298578692</v>
      </c>
      <c r="G255" s="1">
        <f t="shared" si="16"/>
        <v>16.721696344170759</v>
      </c>
      <c r="H255">
        <f t="shared" si="17"/>
        <v>-5.4088765373706362</v>
      </c>
      <c r="I255" s="1">
        <f t="shared" si="18"/>
        <v>-17.691637985316152</v>
      </c>
    </row>
    <row r="256" spans="4:9">
      <c r="D256">
        <v>254</v>
      </c>
      <c r="E256" s="1">
        <f t="shared" si="19"/>
        <v>4.4331363000655974</v>
      </c>
      <c r="F256" s="1">
        <f t="shared" si="15"/>
        <v>-4.7836509670800016</v>
      </c>
      <c r="G256" s="1">
        <f t="shared" si="16"/>
        <v>16.754996156880619</v>
      </c>
      <c r="H256">
        <f t="shared" si="17"/>
        <v>-5.0992910826144797</v>
      </c>
      <c r="I256" s="1">
        <f t="shared" si="18"/>
        <v>-17.783341374858903</v>
      </c>
    </row>
    <row r="257" spans="4:9">
      <c r="D257">
        <v>255</v>
      </c>
      <c r="E257" s="1">
        <f t="shared" si="19"/>
        <v>4.4505895925855405</v>
      </c>
      <c r="F257" s="1">
        <f t="shared" si="15"/>
        <v>-4.4895966178301663</v>
      </c>
      <c r="G257" s="1">
        <f t="shared" si="16"/>
        <v>16.74582400131424</v>
      </c>
      <c r="H257">
        <f t="shared" si="17"/>
        <v>-4.7881523343966315</v>
      </c>
      <c r="I257" s="1">
        <f t="shared" si="18"/>
        <v>-17.869627786347763</v>
      </c>
    </row>
    <row r="258" spans="4:9">
      <c r="D258">
        <v>256</v>
      </c>
      <c r="E258" s="1">
        <f t="shared" si="19"/>
        <v>4.4680428851054836</v>
      </c>
      <c r="F258" s="1">
        <f t="shared" ref="F258:F321" si="20">($B$1*COS(E258)) - ($B$3*COS(E258 + ATAN(SIN((1-$B$4)*E258) / (($B$1/($B$2*$B$4)) - COS((1-$B$4)*E258))))) - ($B$2*COS($B$4*E258))</f>
        <v>-4.2266458898094017</v>
      </c>
      <c r="G258" s="1">
        <f t="shared" ref="G258:G321" si="21">(-$B$1*SIN(E258)) + ($B$3*SIN(E258 + ATAN(SIN((1-$B$4)*E258) / (($B$1/($B$2*$B$4)) - COS((1-$B$4)*E258))))) + ($B$2*SIN($B$4*E258))</f>
        <v>16.701242728005337</v>
      </c>
      <c r="H258">
        <f t="shared" ref="H258:H321" si="22">$B$1*COS(E258)</f>
        <v>-4.4755550685938541</v>
      </c>
      <c r="I258" s="1">
        <f t="shared" ref="I258:I321" si="23">$B$1*SIN(E258)</f>
        <v>-17.950470936105933</v>
      </c>
    </row>
    <row r="259" spans="4:9">
      <c r="D259">
        <v>257</v>
      </c>
      <c r="E259" s="1">
        <f t="shared" ref="E259:E322" si="24">RADIANS(D259)</f>
        <v>4.4854961776254267</v>
      </c>
      <c r="F259" s="1">
        <f t="shared" si="20"/>
        <v>-4.005716420748886</v>
      </c>
      <c r="G259" s="1">
        <f t="shared" si="21"/>
        <v>16.632156488052033</v>
      </c>
      <c r="H259">
        <f t="shared" si="22"/>
        <v>-4.1615945053615073</v>
      </c>
      <c r="I259" s="1">
        <f t="shared" si="23"/>
        <v>-18.02584619852685</v>
      </c>
    </row>
    <row r="260" spans="4:9">
      <c r="D260">
        <v>258</v>
      </c>
      <c r="E260" s="1">
        <f t="shared" si="24"/>
        <v>4.5029494701453698</v>
      </c>
      <c r="F260" s="1">
        <f t="shared" si="20"/>
        <v>-3.8334194747059502</v>
      </c>
      <c r="G260" s="1">
        <f t="shared" si="21"/>
        <v>16.551960990703193</v>
      </c>
      <c r="H260">
        <f t="shared" si="22"/>
        <v>-3.8463662801285561</v>
      </c>
      <c r="I260" s="1">
        <f t="shared" si="23"/>
        <v>-18.095730613575402</v>
      </c>
    </row>
    <row r="261" spans="4:9">
      <c r="D261">
        <v>259</v>
      </c>
      <c r="E261" s="1">
        <f t="shared" si="24"/>
        <v>4.5204027626653138</v>
      </c>
      <c r="F261" s="1">
        <f t="shared" si="20"/>
        <v>-3.7109411634220453</v>
      </c>
      <c r="G261" s="1">
        <f t="shared" si="21"/>
        <v>16.474473189012709</v>
      </c>
      <c r="H261">
        <f t="shared" si="22"/>
        <v>-3.5299664144660752</v>
      </c>
      <c r="I261" s="1">
        <f t="shared" si="23"/>
        <v>-18.160102893781783</v>
      </c>
    </row>
    <row r="262" spans="4:9">
      <c r="D262">
        <v>260</v>
      </c>
      <c r="E262" s="1">
        <f t="shared" si="24"/>
        <v>4.5378560551852569</v>
      </c>
      <c r="F262" s="1">
        <f t="shared" si="20"/>
        <v>-3.6328631299390586</v>
      </c>
      <c r="G262" s="1">
        <f t="shared" si="21"/>
        <v>16.410558853136845</v>
      </c>
      <c r="H262">
        <f t="shared" si="22"/>
        <v>-3.2124912868382109</v>
      </c>
      <c r="I262" s="1">
        <f t="shared" si="23"/>
        <v>-18.218943430725847</v>
      </c>
    </row>
    <row r="263" spans="4:9">
      <c r="D263">
        <v>261</v>
      </c>
      <c r="E263" s="1">
        <f t="shared" si="24"/>
        <v>4.5553093477052</v>
      </c>
      <c r="F263" s="1">
        <f t="shared" si="20"/>
        <v>-3.5847099064971752</v>
      </c>
      <c r="G263" s="1">
        <f t="shared" si="21"/>
        <v>16.361221173187257</v>
      </c>
      <c r="H263">
        <f t="shared" si="22"/>
        <v>-2.8940376032442741</v>
      </c>
      <c r="I263" s="1">
        <f t="shared" si="23"/>
        <v>-18.272234301010048</v>
      </c>
    </row>
    <row r="264" spans="4:9">
      <c r="D264">
        <v>262</v>
      </c>
      <c r="E264" s="1">
        <f t="shared" si="24"/>
        <v>4.5727626402251431</v>
      </c>
      <c r="F264" s="1">
        <f t="shared" si="20"/>
        <v>-3.5322001656201443</v>
      </c>
      <c r="G264" s="1">
        <f t="shared" si="21"/>
        <v>16.296970825522976</v>
      </c>
      <c r="H264">
        <f t="shared" si="22"/>
        <v>-2.5747023677612177</v>
      </c>
      <c r="I264" s="1">
        <f t="shared" si="23"/>
        <v>-18.31995927171905</v>
      </c>
    </row>
    <row r="265" spans="4:9">
      <c r="D265">
        <v>263</v>
      </c>
      <c r="E265" s="1">
        <f t="shared" si="24"/>
        <v>4.5902159327450871</v>
      </c>
      <c r="F265" s="1">
        <f t="shared" si="20"/>
        <v>-3.33482416927201</v>
      </c>
      <c r="G265" s="1">
        <f t="shared" si="21"/>
        <v>16.062543340802151</v>
      </c>
      <c r="H265">
        <f t="shared" si="22"/>
        <v>-2.2545828529952225</v>
      </c>
      <c r="I265" s="1">
        <f t="shared" si="23"/>
        <v>-18.362103805364459</v>
      </c>
    </row>
    <row r="266" spans="4:9">
      <c r="D266">
        <v>264</v>
      </c>
      <c r="E266" s="1">
        <f t="shared" si="24"/>
        <v>4.6076692252650302</v>
      </c>
      <c r="F266" s="1">
        <f t="shared" si="20"/>
        <v>-1.6201911806485725</v>
      </c>
      <c r="G266" s="1">
        <f t="shared" si="21"/>
        <v>15.415089378208243</v>
      </c>
      <c r="H266">
        <f t="shared" si="22"/>
        <v>-1.9337765704515872</v>
      </c>
      <c r="I266" s="1">
        <f t="shared" si="23"/>
        <v>-18.398655064313058</v>
      </c>
    </row>
    <row r="267" spans="4:9">
      <c r="D267">
        <v>265</v>
      </c>
      <c r="E267" s="1">
        <f t="shared" si="24"/>
        <v>4.6251225177849733</v>
      </c>
      <c r="F267" s="1">
        <f t="shared" si="20"/>
        <v>-7.7640284777181184E-2</v>
      </c>
      <c r="G267" s="1">
        <f t="shared" si="21"/>
        <v>16.40488716210168</v>
      </c>
      <c r="H267">
        <f t="shared" si="22"/>
        <v>-1.6123812408316776</v>
      </c>
      <c r="I267" s="1">
        <f t="shared" si="23"/>
        <v>-18.429601914697294</v>
      </c>
    </row>
    <row r="268" spans="4:9">
      <c r="D268">
        <v>266</v>
      </c>
      <c r="E268" s="1">
        <f t="shared" si="24"/>
        <v>4.6425758103049164</v>
      </c>
      <c r="F268" s="1">
        <f t="shared" si="20"/>
        <v>6.668235777071585E-2</v>
      </c>
      <c r="G268" s="1">
        <f t="shared" si="21"/>
        <v>16.675228620954972</v>
      </c>
      <c r="H268">
        <f t="shared" si="22"/>
        <v>-1.2904947642663231</v>
      </c>
      <c r="I268" s="1">
        <f t="shared" si="23"/>
        <v>-18.454934929806747</v>
      </c>
    </row>
    <row r="269" spans="4:9">
      <c r="D269">
        <v>267</v>
      </c>
      <c r="E269" s="1">
        <f t="shared" si="24"/>
        <v>4.6600291028248595</v>
      </c>
      <c r="F269" s="1">
        <f t="shared" si="20"/>
        <v>0.10468623640623242</v>
      </c>
      <c r="G269" s="1">
        <f t="shared" si="21"/>
        <v>16.748992333379256</v>
      </c>
      <c r="H269">
        <f t="shared" si="22"/>
        <v>-0.96821519049446969</v>
      </c>
      <c r="I269" s="1">
        <f t="shared" si="23"/>
        <v>-18.474646392959617</v>
      </c>
    </row>
    <row r="270" spans="4:9">
      <c r="D270">
        <v>268</v>
      </c>
      <c r="E270" s="1">
        <f t="shared" si="24"/>
        <v>4.6774823953448035</v>
      </c>
      <c r="F270" s="1">
        <f t="shared" si="20"/>
        <v>0.1415293159241674</v>
      </c>
      <c r="G270" s="1">
        <f t="shared" si="21"/>
        <v>16.80726348475185</v>
      </c>
      <c r="H270">
        <f t="shared" si="22"/>
        <v>-0.64564068899626403</v>
      </c>
      <c r="I270" s="1">
        <f t="shared" si="23"/>
        <v>-18.488730299853273</v>
      </c>
    </row>
    <row r="271" spans="4:9">
      <c r="D271">
        <v>269</v>
      </c>
      <c r="E271" s="1">
        <f t="shared" si="24"/>
        <v>4.6949356878647466</v>
      </c>
      <c r="F271" s="1">
        <f t="shared" si="20"/>
        <v>0.20461261940611353</v>
      </c>
      <c r="G271" s="1">
        <f t="shared" si="21"/>
        <v>16.88601447499849</v>
      </c>
      <c r="H271">
        <f t="shared" si="22"/>
        <v>-0.32286951908974471</v>
      </c>
      <c r="I271" s="1">
        <f t="shared" si="23"/>
        <v>-18.497182360393239</v>
      </c>
    </row>
    <row r="272" spans="4:9">
      <c r="D272">
        <v>270</v>
      </c>
      <c r="E272" s="1">
        <f t="shared" si="24"/>
        <v>4.7123889803846897</v>
      </c>
      <c r="F272" s="1">
        <f t="shared" si="20"/>
        <v>0.3083038658631656</v>
      </c>
      <c r="G272" s="1">
        <f t="shared" si="21"/>
        <v>16.987273655095709</v>
      </c>
      <c r="H272">
        <f t="shared" si="22"/>
        <v>-3.3997869623714205E-15</v>
      </c>
      <c r="I272" s="1">
        <f t="shared" si="23"/>
        <v>-18.5</v>
      </c>
    </row>
    <row r="273" spans="4:9">
      <c r="D273">
        <v>271</v>
      </c>
      <c r="E273" s="1">
        <f t="shared" si="24"/>
        <v>4.7298422729046328</v>
      </c>
      <c r="F273" s="1">
        <f t="shared" si="20"/>
        <v>0.46016212879905682</v>
      </c>
      <c r="G273" s="1">
        <f t="shared" si="21"/>
        <v>17.101539237791656</v>
      </c>
      <c r="H273">
        <f t="shared" si="22"/>
        <v>0.32286951908973793</v>
      </c>
      <c r="I273" s="1">
        <f t="shared" si="23"/>
        <v>-18.497182360393239</v>
      </c>
    </row>
    <row r="274" spans="4:9">
      <c r="D274">
        <v>272</v>
      </c>
      <c r="E274" s="1">
        <f t="shared" si="24"/>
        <v>4.7472955654245768</v>
      </c>
      <c r="F274" s="1">
        <f t="shared" si="20"/>
        <v>0.6618999219310806</v>
      </c>
      <c r="G274" s="1">
        <f t="shared" si="21"/>
        <v>17.215049597109555</v>
      </c>
      <c r="H274">
        <f t="shared" si="22"/>
        <v>0.64564068899627369</v>
      </c>
      <c r="I274" s="1">
        <f t="shared" si="23"/>
        <v>-18.488730299853273</v>
      </c>
    </row>
    <row r="275" spans="4:9">
      <c r="D275">
        <v>273</v>
      </c>
      <c r="E275" s="1">
        <f t="shared" si="24"/>
        <v>4.7647488579445199</v>
      </c>
      <c r="F275" s="1">
        <f t="shared" si="20"/>
        <v>0.90983557774333779</v>
      </c>
      <c r="G275" s="1">
        <f t="shared" si="21"/>
        <v>17.313327193098868</v>
      </c>
      <c r="H275">
        <f t="shared" si="22"/>
        <v>0.96821519049446303</v>
      </c>
      <c r="I275" s="1">
        <f t="shared" si="23"/>
        <v>-18.474646392959617</v>
      </c>
    </row>
    <row r="276" spans="4:9">
      <c r="D276">
        <v>274</v>
      </c>
      <c r="E276" s="1">
        <f t="shared" si="24"/>
        <v>4.782202150464463</v>
      </c>
      <c r="F276" s="1">
        <f t="shared" si="20"/>
        <v>1.195557135575144</v>
      </c>
      <c r="G276" s="1">
        <f t="shared" si="21"/>
        <v>17.383436252004522</v>
      </c>
      <c r="H276">
        <f t="shared" si="22"/>
        <v>1.2904947642663165</v>
      </c>
      <c r="I276" s="1">
        <f t="shared" si="23"/>
        <v>-18.45493492980675</v>
      </c>
    </row>
    <row r="277" spans="4:9">
      <c r="D277">
        <v>275</v>
      </c>
      <c r="E277" s="1">
        <f t="shared" si="24"/>
        <v>4.7996554429844061</v>
      </c>
      <c r="F277" s="1">
        <f t="shared" si="20"/>
        <v>1.5069068235277778</v>
      </c>
      <c r="G277" s="1">
        <f t="shared" si="21"/>
        <v>17.415571920818081</v>
      </c>
      <c r="H277">
        <f t="shared" si="22"/>
        <v>1.6123812408316709</v>
      </c>
      <c r="I277" s="1">
        <f t="shared" si="23"/>
        <v>-18.429601914697294</v>
      </c>
    </row>
    <row r="278" spans="4:9">
      <c r="D278">
        <v>276</v>
      </c>
      <c r="E278" s="1">
        <f t="shared" si="24"/>
        <v>4.8171087355043491</v>
      </c>
      <c r="F278" s="1">
        <f t="shared" si="20"/>
        <v>1.8292481071839253</v>
      </c>
      <c r="G278" s="1">
        <f t="shared" si="21"/>
        <v>17.404133168944782</v>
      </c>
      <c r="H278">
        <f t="shared" si="22"/>
        <v>1.9337765704515801</v>
      </c>
      <c r="I278" s="1">
        <f t="shared" si="23"/>
        <v>-18.398655064313058</v>
      </c>
    </row>
    <row r="279" spans="4:9">
      <c r="D279">
        <v>277</v>
      </c>
      <c r="E279" s="1">
        <f t="shared" si="24"/>
        <v>4.8345620280242931</v>
      </c>
      <c r="F279" s="1">
        <f t="shared" si="20"/>
        <v>2.1469237106524797</v>
      </c>
      <c r="G279" s="1">
        <f t="shared" si="21"/>
        <v>17.348303435339719</v>
      </c>
      <c r="H279">
        <f t="shared" si="22"/>
        <v>2.2545828529952323</v>
      </c>
      <c r="I279" s="1">
        <f t="shared" si="23"/>
        <v>-18.362103805364455</v>
      </c>
    </row>
    <row r="280" spans="4:9">
      <c r="D280">
        <v>278</v>
      </c>
      <c r="E280" s="1">
        <f t="shared" si="24"/>
        <v>4.8520153205442362</v>
      </c>
      <c r="F280" s="1">
        <f t="shared" si="20"/>
        <v>2.4447882796739826</v>
      </c>
      <c r="G280" s="1">
        <f t="shared" si="21"/>
        <v>17.252136767933951</v>
      </c>
      <c r="H280">
        <f t="shared" si="22"/>
        <v>2.5747023677612111</v>
      </c>
      <c r="I280" s="1">
        <f t="shared" si="23"/>
        <v>-18.319959271719053</v>
      </c>
    </row>
    <row r="281" spans="4:9">
      <c r="D281">
        <v>279</v>
      </c>
      <c r="E281" s="1">
        <f t="shared" si="24"/>
        <v>4.8694686130641793</v>
      </c>
      <c r="F281" s="1">
        <f t="shared" si="20"/>
        <v>2.7096896429663819</v>
      </c>
      <c r="G281" s="1">
        <f t="shared" si="21"/>
        <v>17.12415490798378</v>
      </c>
      <c r="H281">
        <f t="shared" si="22"/>
        <v>2.8940376032442674</v>
      </c>
      <c r="I281" s="1">
        <f t="shared" si="23"/>
        <v>-18.272234301010048</v>
      </c>
    </row>
    <row r="282" spans="4:9">
      <c r="D282">
        <v>280</v>
      </c>
      <c r="E282" s="1">
        <f t="shared" si="24"/>
        <v>4.8869219055841224</v>
      </c>
      <c r="F282" s="1">
        <f t="shared" si="20"/>
        <v>2.9317742486838498</v>
      </c>
      <c r="G282" s="1">
        <f t="shared" si="21"/>
        <v>16.976476191847009</v>
      </c>
      <c r="H282">
        <f t="shared" si="22"/>
        <v>3.2124912868382043</v>
      </c>
      <c r="I282" s="1">
        <f t="shared" si="23"/>
        <v>-18.218943430725851</v>
      </c>
    </row>
    <row r="283" spans="4:9">
      <c r="D283">
        <v>281</v>
      </c>
      <c r="E283" s="1">
        <f t="shared" si="24"/>
        <v>4.9043751981040664</v>
      </c>
      <c r="F283" s="1">
        <f t="shared" si="20"/>
        <v>3.1055034562821584</v>
      </c>
      <c r="G283" s="1">
        <f t="shared" si="21"/>
        <v>16.823502660549856</v>
      </c>
      <c r="H283">
        <f t="shared" si="22"/>
        <v>3.5299664144660845</v>
      </c>
      <c r="I283" s="1">
        <f t="shared" si="23"/>
        <v>-18.160102893781783</v>
      </c>
    </row>
    <row r="284" spans="4:9">
      <c r="D284">
        <v>282</v>
      </c>
      <c r="E284" s="1">
        <f t="shared" si="24"/>
        <v>4.9218284906240095</v>
      </c>
      <c r="F284" s="1">
        <f t="shared" si="20"/>
        <v>3.2302861013239128</v>
      </c>
      <c r="G284" s="1">
        <f t="shared" si="21"/>
        <v>16.680160946777718</v>
      </c>
      <c r="H284">
        <f t="shared" si="22"/>
        <v>3.8463662801285494</v>
      </c>
      <c r="I284" s="1">
        <f t="shared" si="23"/>
        <v>-18.095730613575402</v>
      </c>
    </row>
    <row r="285" spans="4:9">
      <c r="D285">
        <v>283</v>
      </c>
      <c r="E285" s="1">
        <f t="shared" si="24"/>
        <v>4.9392817831439526</v>
      </c>
      <c r="F285" s="1">
        <f t="shared" si="20"/>
        <v>3.3106584779181452</v>
      </c>
      <c r="G285" s="1">
        <f t="shared" si="21"/>
        <v>16.559555900339461</v>
      </c>
      <c r="H285">
        <f t="shared" si="22"/>
        <v>4.1615945053615011</v>
      </c>
      <c r="I285" s="1">
        <f t="shared" si="23"/>
        <v>-18.025846198526853</v>
      </c>
    </row>
    <row r="286" spans="4:9">
      <c r="D286">
        <v>284</v>
      </c>
      <c r="E286" s="1">
        <f t="shared" si="24"/>
        <v>4.9567350756638957</v>
      </c>
      <c r="F286" s="1">
        <f t="shared" si="20"/>
        <v>3.3559900083296252</v>
      </c>
      <c r="G286" s="1">
        <f t="shared" si="21"/>
        <v>16.469410051884992</v>
      </c>
      <c r="H286">
        <f t="shared" si="22"/>
        <v>4.4755550685938479</v>
      </c>
      <c r="I286" s="1">
        <f t="shared" si="23"/>
        <v>-17.950470936105937</v>
      </c>
    </row>
    <row r="287" spans="4:9">
      <c r="D287">
        <v>285</v>
      </c>
      <c r="E287" s="1">
        <f t="shared" si="24"/>
        <v>4.9741883681838388</v>
      </c>
      <c r="F287" s="1">
        <f t="shared" si="20"/>
        <v>3.3799127245559606</v>
      </c>
      <c r="G287" s="1">
        <f t="shared" si="21"/>
        <v>16.404752158020401</v>
      </c>
      <c r="H287">
        <f t="shared" si="22"/>
        <v>4.7881523343966252</v>
      </c>
      <c r="I287" s="1">
        <f t="shared" si="23"/>
        <v>-17.869627786347767</v>
      </c>
    </row>
    <row r="288" spans="4:9">
      <c r="D288">
        <v>286</v>
      </c>
      <c r="E288" s="1">
        <f t="shared" si="24"/>
        <v>4.9916416607037828</v>
      </c>
      <c r="F288" s="1">
        <f t="shared" si="20"/>
        <v>3.4017497890907431</v>
      </c>
      <c r="G288" s="1">
        <f t="shared" si="21"/>
        <v>16.324698909026619</v>
      </c>
      <c r="H288">
        <f t="shared" si="22"/>
        <v>5.0992910826144886</v>
      </c>
      <c r="I288" s="1">
        <f t="shared" si="23"/>
        <v>-17.783341374858896</v>
      </c>
    </row>
    <row r="289" spans="4:9">
      <c r="D289">
        <v>287</v>
      </c>
      <c r="E289" s="1">
        <f t="shared" si="24"/>
        <v>5.0090949532237259</v>
      </c>
      <c r="F289" s="1">
        <f t="shared" si="20"/>
        <v>3.4867114858222039</v>
      </c>
      <c r="G289" s="1">
        <f t="shared" si="21"/>
        <v>16.03025869503497</v>
      </c>
      <c r="H289">
        <f t="shared" si="22"/>
        <v>5.4088765373706291</v>
      </c>
      <c r="I289" s="1">
        <f t="shared" si="23"/>
        <v>-17.691637985316156</v>
      </c>
    </row>
    <row r="290" spans="4:9">
      <c r="D290">
        <v>288</v>
      </c>
      <c r="E290" s="1">
        <f t="shared" si="24"/>
        <v>5.026548245743669</v>
      </c>
      <c r="F290" s="1">
        <f t="shared" si="20"/>
        <v>4.7897634128116486</v>
      </c>
      <c r="G290" s="1">
        <f t="shared" si="21"/>
        <v>14.741376002574892</v>
      </c>
      <c r="H290">
        <f t="shared" si="22"/>
        <v>5.7168143959365239</v>
      </c>
      <c r="I290" s="1">
        <f t="shared" si="23"/>
        <v>-17.594545551460342</v>
      </c>
    </row>
    <row r="291" spans="4:9">
      <c r="D291">
        <v>289</v>
      </c>
      <c r="E291" s="1">
        <f t="shared" si="24"/>
        <v>5.0440015382636121</v>
      </c>
      <c r="F291" s="1">
        <f t="shared" si="20"/>
        <v>6.6015408048622417</v>
      </c>
      <c r="G291" s="1">
        <f t="shared" si="21"/>
        <v>15.018189298875118</v>
      </c>
      <c r="H291">
        <f t="shared" si="22"/>
        <v>6.0230108574573915</v>
      </c>
      <c r="I291" s="1">
        <f t="shared" si="23"/>
        <v>-17.492093648587364</v>
      </c>
    </row>
    <row r="292" spans="4:9">
      <c r="D292">
        <v>290</v>
      </c>
      <c r="E292" s="1">
        <f t="shared" si="24"/>
        <v>5.0614548307835561</v>
      </c>
      <c r="F292" s="1">
        <f t="shared" si="20"/>
        <v>6.8433438768550703</v>
      </c>
      <c r="G292" s="1">
        <f t="shared" si="21"/>
        <v>15.206457203473272</v>
      </c>
      <c r="H292">
        <f t="shared" si="22"/>
        <v>6.3273726515248763</v>
      </c>
      <c r="I292" s="1">
        <f t="shared" si="23"/>
        <v>-17.384313484539305</v>
      </c>
    </row>
    <row r="293" spans="4:9">
      <c r="D293">
        <v>291</v>
      </c>
      <c r="E293" s="1">
        <f t="shared" si="24"/>
        <v>5.0789081233034992</v>
      </c>
      <c r="F293" s="1">
        <f t="shared" si="20"/>
        <v>6.9080645523276099</v>
      </c>
      <c r="G293" s="1">
        <f t="shared" si="21"/>
        <v>15.25838613787726</v>
      </c>
      <c r="H293">
        <f t="shared" si="22"/>
        <v>6.6298070665880573</v>
      </c>
      <c r="I293" s="1">
        <f t="shared" si="23"/>
        <v>-17.271237890198233</v>
      </c>
    </row>
    <row r="294" spans="4:9">
      <c r="D294">
        <v>292</v>
      </c>
      <c r="E294" s="1">
        <f t="shared" si="24"/>
        <v>5.0963614158234423</v>
      </c>
      <c r="F294" s="1">
        <f t="shared" si="20"/>
        <v>6.9654233927642233</v>
      </c>
      <c r="G294" s="1">
        <f t="shared" si="21"/>
        <v>15.29663405304159</v>
      </c>
      <c r="H294">
        <f t="shared" si="22"/>
        <v>6.9302219781943712</v>
      </c>
      <c r="I294" s="1">
        <f t="shared" si="23"/>
        <v>-17.152901309485568</v>
      </c>
    </row>
    <row r="295" spans="4:9">
      <c r="D295">
        <v>293</v>
      </c>
      <c r="E295" s="1">
        <f t="shared" si="24"/>
        <v>5.1138147083433854</v>
      </c>
      <c r="F295" s="1">
        <f t="shared" si="20"/>
        <v>7.0550837715250658</v>
      </c>
      <c r="G295" s="1">
        <f t="shared" si="21"/>
        <v>15.342918371373891</v>
      </c>
      <c r="H295">
        <f t="shared" si="22"/>
        <v>7.2285258770515597</v>
      </c>
      <c r="I295" s="1">
        <f t="shared" si="23"/>
        <v>-17.02933978887015</v>
      </c>
    </row>
    <row r="296" spans="4:9">
      <c r="D296">
        <v>294</v>
      </c>
      <c r="E296" s="1">
        <f t="shared" si="24"/>
        <v>5.1312680008633285</v>
      </c>
      <c r="F296" s="1">
        <f t="shared" si="20"/>
        <v>7.1909962577165558</v>
      </c>
      <c r="G296" s="1">
        <f t="shared" si="21"/>
        <v>15.393248205896029</v>
      </c>
      <c r="H296">
        <f t="shared" si="22"/>
        <v>7.5246278969022953</v>
      </c>
      <c r="I296" s="1">
        <f t="shared" si="23"/>
        <v>-16.900590966388119</v>
      </c>
    </row>
    <row r="297" spans="4:9">
      <c r="D297">
        <v>295</v>
      </c>
      <c r="E297" s="1">
        <f t="shared" si="24"/>
        <v>5.1487212933832724</v>
      </c>
      <c r="F297" s="1">
        <f t="shared" si="20"/>
        <v>7.376201683551991</v>
      </c>
      <c r="G297" s="1">
        <f t="shared" si="21"/>
        <v>15.435868689842932</v>
      </c>
      <c r="H297">
        <f t="shared" si="22"/>
        <v>7.8184378422029424</v>
      </c>
      <c r="I297" s="1">
        <f t="shared" si="23"/>
        <v>-16.766694060178025</v>
      </c>
    </row>
    <row r="298" spans="4:9">
      <c r="D298">
        <v>296</v>
      </c>
      <c r="E298" s="1">
        <f t="shared" si="24"/>
        <v>5.1661745859032155</v>
      </c>
      <c r="F298" s="1">
        <f t="shared" si="20"/>
        <v>7.6066671506058761</v>
      </c>
      <c r="G298" s="1">
        <f t="shared" si="21"/>
        <v>15.457511410233135</v>
      </c>
      <c r="H298">
        <f t="shared" si="22"/>
        <v>8.1098662155979326</v>
      </c>
      <c r="I298" s="1">
        <f t="shared" si="23"/>
        <v>-16.627689856534591</v>
      </c>
    </row>
    <row r="299" spans="4:9">
      <c r="D299">
        <v>297</v>
      </c>
      <c r="E299" s="1">
        <f t="shared" si="24"/>
        <v>5.1836278784231586</v>
      </c>
      <c r="F299" s="1">
        <f t="shared" si="20"/>
        <v>7.8731407422430433</v>
      </c>
      <c r="G299" s="1">
        <f t="shared" si="21"/>
        <v>15.446447945293334</v>
      </c>
      <c r="H299">
        <f t="shared" si="22"/>
        <v>8.3988242451816131</v>
      </c>
      <c r="I299" s="1">
        <f t="shared" si="23"/>
        <v>-16.483620697484806</v>
      </c>
    </row>
    <row r="300" spans="4:9">
      <c r="D300">
        <v>298</v>
      </c>
      <c r="E300" s="1">
        <f t="shared" si="24"/>
        <v>5.2010811709431017</v>
      </c>
      <c r="F300" s="1">
        <f t="shared" si="20"/>
        <v>8.162676296819356</v>
      </c>
      <c r="G300" s="1">
        <f t="shared" si="21"/>
        <v>15.394282330309295</v>
      </c>
      <c r="H300">
        <f t="shared" si="22"/>
        <v>8.6852239115389729</v>
      </c>
      <c r="I300" s="1">
        <f t="shared" si="23"/>
        <v>-16.334530467890151</v>
      </c>
    </row>
    <row r="301" spans="4:9">
      <c r="D301">
        <v>299</v>
      </c>
      <c r="E301" s="1">
        <f t="shared" si="24"/>
        <v>5.2185344634630457</v>
      </c>
      <c r="F301" s="1">
        <f t="shared" si="20"/>
        <v>8.4601791440431651</v>
      </c>
      <c r="G301" s="1">
        <f t="shared" si="21"/>
        <v>15.297002397681675</v>
      </c>
      <c r="H301">
        <f t="shared" si="22"/>
        <v>8.9689779745572391</v>
      </c>
      <c r="I301" s="1">
        <f t="shared" si="23"/>
        <v>-16.18046458207882</v>
      </c>
    </row>
    <row r="302" spans="4:9">
      <c r="D302">
        <v>300</v>
      </c>
      <c r="E302" s="1">
        <f t="shared" si="24"/>
        <v>5.2359877559829888</v>
      </c>
      <c r="F302" s="1">
        <f t="shared" si="20"/>
        <v>8.7500000000000036</v>
      </c>
      <c r="G302" s="1">
        <f t="shared" si="21"/>
        <v>15.155444566227674</v>
      </c>
      <c r="H302">
        <f t="shared" si="22"/>
        <v>9.2500000000000018</v>
      </c>
      <c r="I302" s="1">
        <f t="shared" si="23"/>
        <v>-16.021469970012113</v>
      </c>
    </row>
    <row r="303" spans="4:9">
      <c r="D303">
        <v>301</v>
      </c>
      <c r="E303" s="1">
        <f t="shared" si="24"/>
        <v>5.2534410485029319</v>
      </c>
      <c r="F303" s="1">
        <f t="shared" si="20"/>
        <v>9.0175031061222199</v>
      </c>
      <c r="G303" s="1">
        <f t="shared" si="21"/>
        <v>14.975231258149504</v>
      </c>
      <c r="H303">
        <f t="shared" si="22"/>
        <v>9.5282043858360019</v>
      </c>
      <c r="I303" s="1">
        <f t="shared" si="23"/>
        <v>-15.857595062989079</v>
      </c>
    </row>
    <row r="304" spans="4:9">
      <c r="D304">
        <v>302</v>
      </c>
      <c r="E304" s="1">
        <f t="shared" si="24"/>
        <v>5.270894341022875</v>
      </c>
      <c r="F304" s="1">
        <f t="shared" si="20"/>
        <v>9.2505014226680711</v>
      </c>
      <c r="G304" s="1">
        <f t="shared" si="21"/>
        <v>14.766226201069305</v>
      </c>
      <c r="H304">
        <f t="shared" si="22"/>
        <v>9.8035063883142861</v>
      </c>
      <c r="I304" s="1">
        <f t="shared" si="23"/>
        <v>-15.688889778893884</v>
      </c>
    </row>
    <row r="305" spans="4:9">
      <c r="D305">
        <v>303</v>
      </c>
      <c r="E305" s="1">
        <f t="shared" si="24"/>
        <v>5.2883476335428181</v>
      </c>
      <c r="F305" s="1">
        <f t="shared" si="20"/>
        <v>9.4404459477364409</v>
      </c>
      <c r="G305" s="1">
        <f t="shared" si="21"/>
        <v>14.541563862999432</v>
      </c>
      <c r="H305">
        <f t="shared" si="22"/>
        <v>10.075822147777993</v>
      </c>
      <c r="I305" s="1">
        <f t="shared" si="23"/>
        <v>-15.51540550699035</v>
      </c>
    </row>
    <row r="306" spans="4:9">
      <c r="D306">
        <v>304</v>
      </c>
      <c r="E306" s="1">
        <f t="shared" si="24"/>
        <v>5.3058009260627621</v>
      </c>
      <c r="F306" s="1">
        <f t="shared" si="20"/>
        <v>9.5832639852467825</v>
      </c>
      <c r="G306" s="1">
        <f t="shared" si="21"/>
        <v>14.316322695673842</v>
      </c>
      <c r="H306">
        <f t="shared" si="22"/>
        <v>10.34506871420882</v>
      </c>
      <c r="I306" s="1">
        <f t="shared" si="23"/>
        <v>-15.337195092268271</v>
      </c>
    </row>
    <row r="307" spans="4:9">
      <c r="D307">
        <v>305</v>
      </c>
      <c r="E307" s="1">
        <f t="shared" si="24"/>
        <v>5.3232542185827052</v>
      </c>
      <c r="F307" s="1">
        <f t="shared" si="20"/>
        <v>9.6797535731088029</v>
      </c>
      <c r="G307" s="1">
        <f t="shared" si="21"/>
        <v>14.105912386315032</v>
      </c>
      <c r="H307">
        <f t="shared" si="22"/>
        <v>10.611164072494352</v>
      </c>
      <c r="I307" s="1">
        <f t="shared" si="23"/>
        <v>-15.154312819346348</v>
      </c>
    </row>
    <row r="308" spans="4:9">
      <c r="D308">
        <v>306</v>
      </c>
      <c r="E308" s="1">
        <f t="shared" si="24"/>
        <v>5.3407075111026483</v>
      </c>
      <c r="F308" s="1">
        <f t="shared" si="20"/>
        <v>9.7354458642069162</v>
      </c>
      <c r="G308" s="1">
        <f t="shared" si="21"/>
        <v>13.924209540649386</v>
      </c>
      <c r="H308">
        <f t="shared" si="22"/>
        <v>10.874027167410748</v>
      </c>
      <c r="I308" s="1">
        <f t="shared" si="23"/>
        <v>-14.966814395936529</v>
      </c>
    </row>
    <row r="309" spans="4:9">
      <c r="D309">
        <v>307</v>
      </c>
      <c r="E309" s="1">
        <f t="shared" si="24"/>
        <v>5.3581608036225914</v>
      </c>
      <c r="F309" s="1">
        <f t="shared" si="20"/>
        <v>9.7598151920382197</v>
      </c>
      <c r="G309" s="1">
        <f t="shared" si="21"/>
        <v>13.781340957654981</v>
      </c>
      <c r="H309">
        <f t="shared" si="22"/>
        <v>11.133577928312887</v>
      </c>
      <c r="I309" s="1">
        <f t="shared" si="23"/>
        <v>-14.774756935874921</v>
      </c>
    </row>
    <row r="310" spans="4:9">
      <c r="D310">
        <v>308</v>
      </c>
      <c r="E310" s="1">
        <f t="shared" si="24"/>
        <v>5.3756140961425354</v>
      </c>
      <c r="F310" s="1">
        <f t="shared" si="20"/>
        <v>9.7645619859460258</v>
      </c>
      <c r="G310" s="1">
        <f t="shared" si="21"/>
        <v>13.680550632769002</v>
      </c>
      <c r="H310">
        <f t="shared" si="22"/>
        <v>11.389737293524682</v>
      </c>
      <c r="I310" s="1">
        <f t="shared" si="23"/>
        <v>-14.578198941724352</v>
      </c>
    </row>
    <row r="311" spans="4:9">
      <c r="D311">
        <v>309</v>
      </c>
      <c r="E311" s="1">
        <f t="shared" si="24"/>
        <v>5.3930673886624785</v>
      </c>
      <c r="F311" s="1">
        <f t="shared" si="20"/>
        <v>9.7601177399902301</v>
      </c>
      <c r="G311" s="1">
        <f t="shared" si="21"/>
        <v>13.611752462237114</v>
      </c>
      <c r="H311">
        <f t="shared" si="22"/>
        <v>11.642427234421994</v>
      </c>
      <c r="I311" s="1">
        <f t="shared" si="23"/>
        <v>-14.377200286953959</v>
      </c>
    </row>
    <row r="312" spans="4:9">
      <c r="D312">
        <v>310</v>
      </c>
      <c r="E312" s="1">
        <f t="shared" si="24"/>
        <v>5.4105206811824216</v>
      </c>
      <c r="F312" s="1">
        <f t="shared" si="20"/>
        <v>9.747506301341188</v>
      </c>
      <c r="G312" s="1">
        <f t="shared" si="21"/>
        <v>13.529738245925811</v>
      </c>
      <c r="H312">
        <f t="shared" si="22"/>
        <v>11.891570779200975</v>
      </c>
      <c r="I312" s="1">
        <f t="shared" si="23"/>
        <v>-14.171822197701095</v>
      </c>
    </row>
    <row r="313" spans="4:9">
      <c r="D313">
        <v>311</v>
      </c>
      <c r="E313" s="1">
        <f t="shared" si="24"/>
        <v>5.4279739737023647</v>
      </c>
      <c r="F313" s="1">
        <f t="shared" si="20"/>
        <v>9.7053630492383416</v>
      </c>
      <c r="G313" s="1">
        <f t="shared" si="21"/>
        <v>13.226196690567862</v>
      </c>
      <c r="H313">
        <f t="shared" si="22"/>
        <v>12.137092036324381</v>
      </c>
      <c r="I313" s="1">
        <f t="shared" si="23"/>
        <v>-13.962127234121287</v>
      </c>
    </row>
    <row r="314" spans="4:9">
      <c r="D314">
        <v>312</v>
      </c>
      <c r="E314" s="1">
        <f t="shared" si="24"/>
        <v>5.4454272662223078</v>
      </c>
      <c r="F314" s="1">
        <f t="shared" si="20"/>
        <v>10.371524398562205</v>
      </c>
      <c r="G314" s="1">
        <f t="shared" si="21"/>
        <v>11.5187447948997</v>
      </c>
      <c r="H314">
        <f t="shared" si="22"/>
        <v>12.378916217638869</v>
      </c>
      <c r="I314" s="1">
        <f t="shared" si="23"/>
        <v>-13.7481792713318</v>
      </c>
    </row>
    <row r="315" spans="4:9">
      <c r="D315">
        <v>313</v>
      </c>
      <c r="E315" s="1">
        <f t="shared" si="24"/>
        <v>5.4628805587422518</v>
      </c>
      <c r="F315" s="1">
        <f t="shared" si="20"/>
        <v>12.139255516225568</v>
      </c>
      <c r="G315" s="1">
        <f t="shared" si="21"/>
        <v>11.034710069906499</v>
      </c>
      <c r="H315">
        <f t="shared" si="22"/>
        <v>12.616969661156224</v>
      </c>
      <c r="I315" s="1">
        <f t="shared" si="23"/>
        <v>-13.530043479954651</v>
      </c>
    </row>
    <row r="316" spans="4:9">
      <c r="D316">
        <v>314</v>
      </c>
      <c r="E316" s="1">
        <f t="shared" si="24"/>
        <v>5.4803338512621949</v>
      </c>
      <c r="F316" s="1">
        <f t="shared" si="20"/>
        <v>12.436729069803791</v>
      </c>
      <c r="G316" s="1">
        <f t="shared" si="21"/>
        <v>11.108351189184251</v>
      </c>
      <c r="H316">
        <f t="shared" si="22"/>
        <v>12.851179853491448</v>
      </c>
      <c r="I316" s="1">
        <f t="shared" si="23"/>
        <v>-13.307786306265047</v>
      </c>
    </row>
    <row r="317" spans="4:9">
      <c r="D317">
        <v>315</v>
      </c>
      <c r="E317" s="1">
        <f t="shared" si="24"/>
        <v>5.497787143782138</v>
      </c>
      <c r="F317" s="1">
        <f t="shared" si="20"/>
        <v>12.516975749355268</v>
      </c>
      <c r="G317" s="1">
        <f t="shared" si="21"/>
        <v>11.129466361049936</v>
      </c>
      <c r="H317">
        <f t="shared" si="22"/>
        <v>13.081475451951126</v>
      </c>
      <c r="I317" s="1">
        <f t="shared" si="23"/>
        <v>-13.081475451951132</v>
      </c>
    </row>
    <row r="318" spans="4:9">
      <c r="D318">
        <v>316</v>
      </c>
      <c r="E318" s="1">
        <f t="shared" si="24"/>
        <v>5.5152404363020811</v>
      </c>
      <c r="F318" s="1">
        <f t="shared" si="20"/>
        <v>12.584932486110377</v>
      </c>
      <c r="G318" s="1">
        <f t="shared" si="21"/>
        <v>11.141077628002702</v>
      </c>
      <c r="H318">
        <f t="shared" si="22"/>
        <v>13.30778630626504</v>
      </c>
      <c r="I318" s="1">
        <f t="shared" si="23"/>
        <v>-12.851179853491455</v>
      </c>
    </row>
    <row r="319" spans="4:9">
      <c r="D319">
        <v>317</v>
      </c>
      <c r="E319" s="1">
        <f t="shared" si="24"/>
        <v>5.532693728822025</v>
      </c>
      <c r="F319" s="1">
        <f t="shared" si="20"/>
        <v>12.685666846123398</v>
      </c>
      <c r="G319" s="1">
        <f t="shared" si="21"/>
        <v>11.146892295301166</v>
      </c>
      <c r="H319">
        <f t="shared" si="22"/>
        <v>13.530043479954658</v>
      </c>
      <c r="I319" s="1">
        <f t="shared" si="23"/>
        <v>-12.616969661156217</v>
      </c>
    </row>
    <row r="320" spans="4:9">
      <c r="D320">
        <v>318</v>
      </c>
      <c r="E320" s="1">
        <f t="shared" si="24"/>
        <v>5.5501470213419681</v>
      </c>
      <c r="F320" s="1">
        <f t="shared" si="20"/>
        <v>12.830300068460645</v>
      </c>
      <c r="G320" s="1">
        <f t="shared" si="21"/>
        <v>11.137590298627162</v>
      </c>
      <c r="H320">
        <f t="shared" si="22"/>
        <v>13.748179271331793</v>
      </c>
      <c r="I320" s="1">
        <f t="shared" si="23"/>
        <v>-12.378916217638876</v>
      </c>
    </row>
    <row r="321" spans="4:9">
      <c r="D321">
        <v>319</v>
      </c>
      <c r="E321" s="1">
        <f t="shared" si="24"/>
        <v>5.5676003138619112</v>
      </c>
      <c r="F321" s="1">
        <f t="shared" si="20"/>
        <v>13.016828956530189</v>
      </c>
      <c r="G321" s="1">
        <f t="shared" si="21"/>
        <v>11.101196214955651</v>
      </c>
      <c r="H321">
        <f t="shared" si="22"/>
        <v>13.962127234121279</v>
      </c>
      <c r="I321" s="1">
        <f t="shared" si="23"/>
        <v>-12.137092036324386</v>
      </c>
    </row>
    <row r="322" spans="4:9">
      <c r="D322">
        <v>320</v>
      </c>
      <c r="E322" s="1">
        <f t="shared" si="24"/>
        <v>5.5850536063818543</v>
      </c>
      <c r="F322" s="1">
        <f t="shared" ref="F322:F362" si="25">($B$1*COS(E322)) - ($B$3*COS(E322 + ATAN(SIN((1-$B$4)*E322) / (($B$1/($B$2*$B$4)) - COS((1-$B$4)*E322))))) - ($B$2*COS($B$4*E322))</f>
        <v>13.236172524539271</v>
      </c>
      <c r="G322" s="1">
        <f t="shared" ref="G322:G362" si="26">(-$B$1*SIN(E322)) + ($B$3*SIN(E322 + ATAN(SIN((1-$B$4)*E322) / (($B$1/($B$2*$B$4)) - COS((1-$B$4)*E322))))) + ($B$2*SIN($B$4*E322))</f>
        <v>11.027229073444763</v>
      </c>
      <c r="H322">
        <f t="shared" ref="H322:H362" si="27">$B$1*COS(E322)</f>
        <v>14.17182219770109</v>
      </c>
      <c r="I322" s="1">
        <f t="shared" ref="I322:I362" si="28">$B$1*SIN(E322)</f>
        <v>-11.891570779200983</v>
      </c>
    </row>
    <row r="323" spans="4:9">
      <c r="D323">
        <v>321</v>
      </c>
      <c r="E323" s="1">
        <f t="shared" ref="E323:E362" si="29">RADIANS(D323)</f>
        <v>5.6025068989017974</v>
      </c>
      <c r="F323" s="1">
        <f t="shared" si="25"/>
        <v>13.475108347170728</v>
      </c>
      <c r="G323" s="1">
        <f t="shared" si="26"/>
        <v>10.908737521172366</v>
      </c>
      <c r="H323">
        <f t="shared" si="27"/>
        <v>14.377200286953956</v>
      </c>
      <c r="I323" s="1">
        <f t="shared" si="28"/>
        <v>-11.642427234422</v>
      </c>
    </row>
    <row r="324" spans="4:9">
      <c r="D324">
        <v>322</v>
      </c>
      <c r="E324" s="1">
        <f t="shared" si="29"/>
        <v>5.6199601914217414</v>
      </c>
      <c r="F324" s="1">
        <f t="shared" si="25"/>
        <v>13.718394570757368</v>
      </c>
      <c r="G324" s="1">
        <f t="shared" si="26"/>
        <v>10.743317141039094</v>
      </c>
      <c r="H324">
        <f t="shared" si="27"/>
        <v>14.578198941724358</v>
      </c>
      <c r="I324" s="1">
        <f t="shared" si="28"/>
        <v>-11.389737293524677</v>
      </c>
    </row>
    <row r="325" spans="4:9">
      <c r="D325">
        <v>323</v>
      </c>
      <c r="E325" s="1">
        <f t="shared" si="29"/>
        <v>5.6374134839416845</v>
      </c>
      <c r="F325" s="1">
        <f t="shared" si="25"/>
        <v>13.950609632238809</v>
      </c>
      <c r="G325" s="1">
        <f t="shared" si="26"/>
        <v>10.533442191082054</v>
      </c>
      <c r="H325">
        <f t="shared" si="27"/>
        <v>14.774756935874917</v>
      </c>
      <c r="I325" s="1">
        <f t="shared" si="28"/>
        <v>-11.133577928312892</v>
      </c>
    </row>
    <row r="326" spans="4:9">
      <c r="D326">
        <v>324</v>
      </c>
      <c r="E326" s="1">
        <f t="shared" si="29"/>
        <v>5.6548667764616276</v>
      </c>
      <c r="F326" s="1">
        <f t="shared" si="25"/>
        <v>14.157797401561579</v>
      </c>
      <c r="G326" s="1">
        <f t="shared" si="26"/>
        <v>10.286241915118282</v>
      </c>
      <c r="H326">
        <f t="shared" si="27"/>
        <v>14.966814395936526</v>
      </c>
      <c r="I326" s="1">
        <f t="shared" si="28"/>
        <v>-10.874027167410757</v>
      </c>
    </row>
    <row r="327" spans="4:9">
      <c r="D327">
        <v>325</v>
      </c>
      <c r="E327" s="1">
        <f t="shared" si="29"/>
        <v>5.6723200689815707</v>
      </c>
      <c r="F327" s="1">
        <f t="shared" si="25"/>
        <v>14.328874293099517</v>
      </c>
      <c r="G327" s="1">
        <f t="shared" si="26"/>
        <v>10.01280555072022</v>
      </c>
      <c r="H327">
        <f t="shared" si="27"/>
        <v>15.154312819346345</v>
      </c>
      <c r="I327" s="1">
        <f t="shared" si="28"/>
        <v>-10.611164072494359</v>
      </c>
    </row>
    <row r="328" spans="4:9">
      <c r="D328">
        <v>326</v>
      </c>
      <c r="E328" s="1">
        <f t="shared" si="29"/>
        <v>5.6897733615015147</v>
      </c>
      <c r="F328" s="1">
        <f t="shared" si="25"/>
        <v>14.45671883151569</v>
      </c>
      <c r="G328" s="1">
        <f t="shared" si="26"/>
        <v>9.7271009770860957</v>
      </c>
      <c r="H328">
        <f t="shared" si="27"/>
        <v>15.337195092268274</v>
      </c>
      <c r="I328" s="1">
        <f t="shared" si="28"/>
        <v>-10.345068714208811</v>
      </c>
    </row>
    <row r="329" spans="4:9">
      <c r="D329">
        <v>327</v>
      </c>
      <c r="E329" s="1">
        <f t="shared" si="29"/>
        <v>5.7072266540214578</v>
      </c>
      <c r="F329" s="1">
        <f t="shared" si="25"/>
        <v>14.53886338438388</v>
      </c>
      <c r="G329" s="1">
        <f t="shared" si="26"/>
        <v>9.4446043201420498</v>
      </c>
      <c r="H329">
        <f t="shared" si="27"/>
        <v>15.515405506990344</v>
      </c>
      <c r="I329" s="1">
        <f t="shared" si="28"/>
        <v>-10.075822147777998</v>
      </c>
    </row>
    <row r="330" spans="4:9">
      <c r="D330">
        <v>328</v>
      </c>
      <c r="E330" s="1">
        <f t="shared" si="29"/>
        <v>5.7246799465414009</v>
      </c>
      <c r="F330" s="1">
        <f t="shared" si="25"/>
        <v>14.577720317540397</v>
      </c>
      <c r="G330" s="1">
        <f t="shared" si="26"/>
        <v>9.1807469457100233</v>
      </c>
      <c r="H330">
        <f t="shared" si="27"/>
        <v>15.688889778893881</v>
      </c>
      <c r="I330" s="1">
        <f t="shared" si="28"/>
        <v>-9.8035063883142932</v>
      </c>
    </row>
    <row r="331" spans="4:9">
      <c r="D331">
        <v>329</v>
      </c>
      <c r="E331" s="1">
        <f t="shared" si="29"/>
        <v>5.742133239061344</v>
      </c>
      <c r="F331" s="1">
        <f t="shared" si="25"/>
        <v>14.580286359344409</v>
      </c>
      <c r="G331" s="1">
        <f t="shared" si="26"/>
        <v>8.9492817122953419</v>
      </c>
      <c r="H331">
        <f t="shared" si="27"/>
        <v>15.857595062989073</v>
      </c>
      <c r="I331" s="1">
        <f t="shared" si="28"/>
        <v>-9.5282043858360073</v>
      </c>
    </row>
    <row r="332" spans="4:9">
      <c r="D332">
        <v>330</v>
      </c>
      <c r="E332" s="1">
        <f t="shared" si="29"/>
        <v>5.7595865315812871</v>
      </c>
      <c r="F332" s="1">
        <f t="shared" si="25"/>
        <v>14.557258593419435</v>
      </c>
      <c r="G332" s="1">
        <f t="shared" si="26"/>
        <v>8.7606358074703117</v>
      </c>
      <c r="H332">
        <f t="shared" si="27"/>
        <v>16.021469970012109</v>
      </c>
      <c r="I332" s="1">
        <f t="shared" si="28"/>
        <v>-9.2500000000000089</v>
      </c>
    </row>
    <row r="333" spans="4:9">
      <c r="D333">
        <v>331</v>
      </c>
      <c r="E333" s="1">
        <f t="shared" si="29"/>
        <v>5.7770398241012311</v>
      </c>
      <c r="F333" s="1">
        <f t="shared" si="25"/>
        <v>14.521411194317384</v>
      </c>
      <c r="G333" s="1">
        <f t="shared" si="26"/>
        <v>8.6202069638398129</v>
      </c>
      <c r="H333">
        <f t="shared" si="27"/>
        <v>16.180464582078823</v>
      </c>
      <c r="I333" s="1">
        <f t="shared" si="28"/>
        <v>-8.968977974557232</v>
      </c>
    </row>
    <row r="334" spans="4:9">
      <c r="D334">
        <v>332</v>
      </c>
      <c r="E334" s="1">
        <f t="shared" si="29"/>
        <v>5.7944931166211742</v>
      </c>
      <c r="F334" s="1">
        <f t="shared" si="25"/>
        <v>14.484752487931587</v>
      </c>
      <c r="G334" s="1">
        <f t="shared" si="26"/>
        <v>8.526199725346487</v>
      </c>
      <c r="H334">
        <f t="shared" si="27"/>
        <v>16.334530467890147</v>
      </c>
      <c r="I334" s="1">
        <f t="shared" si="28"/>
        <v>-8.68522391153898</v>
      </c>
    </row>
    <row r="335" spans="4:9">
      <c r="D335">
        <v>333</v>
      </c>
      <c r="E335" s="1">
        <f t="shared" si="29"/>
        <v>5.8119464091411173</v>
      </c>
      <c r="F335" s="1">
        <f t="shared" si="25"/>
        <v>14.452709730294123</v>
      </c>
      <c r="G335" s="1">
        <f t="shared" si="26"/>
        <v>8.4651571068440088</v>
      </c>
      <c r="H335">
        <f t="shared" si="27"/>
        <v>16.483620697484803</v>
      </c>
      <c r="I335" s="1">
        <f t="shared" si="28"/>
        <v>-8.3988242451816184</v>
      </c>
    </row>
    <row r="336" spans="4:9">
      <c r="D336">
        <v>334</v>
      </c>
      <c r="E336" s="1">
        <f t="shared" si="29"/>
        <v>5.8293997016610604</v>
      </c>
      <c r="F336" s="1">
        <f t="shared" si="25"/>
        <v>14.407830420775005</v>
      </c>
      <c r="G336" s="1">
        <f t="shared" si="26"/>
        <v>8.395362926291174</v>
      </c>
      <c r="H336">
        <f t="shared" si="27"/>
        <v>16.627689856534587</v>
      </c>
      <c r="I336" s="1">
        <f t="shared" si="28"/>
        <v>-8.1098662155979397</v>
      </c>
    </row>
    <row r="337" spans="4:9">
      <c r="D337">
        <v>335</v>
      </c>
      <c r="E337" s="1">
        <f t="shared" si="29"/>
        <v>5.8468529941810043</v>
      </c>
      <c r="F337" s="1">
        <f t="shared" si="25"/>
        <v>14.24586917098585</v>
      </c>
      <c r="G337" s="1">
        <f t="shared" si="26"/>
        <v>8.1352051220767407</v>
      </c>
      <c r="H337">
        <f t="shared" si="27"/>
        <v>16.766694060178025</v>
      </c>
      <c r="I337" s="1">
        <f t="shared" si="28"/>
        <v>-7.8184378422029353</v>
      </c>
    </row>
    <row r="338" spans="4:9">
      <c r="D338">
        <v>336</v>
      </c>
      <c r="E338" s="1">
        <f t="shared" si="29"/>
        <v>5.8643062867009474</v>
      </c>
      <c r="F338" s="1">
        <f t="shared" si="25"/>
        <v>14.159954593460297</v>
      </c>
      <c r="G338" s="1">
        <f t="shared" si="26"/>
        <v>6.3044179676749437</v>
      </c>
      <c r="H338">
        <f t="shared" si="27"/>
        <v>16.900590966388119</v>
      </c>
      <c r="I338" s="1">
        <f t="shared" si="28"/>
        <v>-7.5246278969023024</v>
      </c>
    </row>
    <row r="339" spans="4:9">
      <c r="D339">
        <v>337</v>
      </c>
      <c r="E339" s="1">
        <f t="shared" si="29"/>
        <v>5.8817595792208905</v>
      </c>
      <c r="F339" s="1">
        <f t="shared" si="25"/>
        <v>15.577982667159235</v>
      </c>
      <c r="G339" s="1">
        <f t="shared" si="26"/>
        <v>5.1432292226571761</v>
      </c>
      <c r="H339">
        <f t="shared" si="27"/>
        <v>17.029339788870146</v>
      </c>
      <c r="I339" s="1">
        <f t="shared" si="28"/>
        <v>-7.2285258770515668</v>
      </c>
    </row>
    <row r="340" spans="4:9">
      <c r="D340">
        <v>338</v>
      </c>
      <c r="E340" s="1">
        <f t="shared" si="29"/>
        <v>5.8992128717408336</v>
      </c>
      <c r="F340" s="1">
        <f t="shared" si="25"/>
        <v>15.879690822446815</v>
      </c>
      <c r="G340" s="1">
        <f t="shared" si="26"/>
        <v>5.0895103380828415</v>
      </c>
      <c r="H340">
        <f t="shared" si="27"/>
        <v>17.152901309485564</v>
      </c>
      <c r="I340" s="1">
        <f t="shared" si="28"/>
        <v>-6.9302219781943784</v>
      </c>
    </row>
    <row r="341" spans="4:9">
      <c r="D341">
        <v>339</v>
      </c>
      <c r="E341" s="1">
        <f t="shared" si="29"/>
        <v>5.9166661642607767</v>
      </c>
      <c r="F341" s="1">
        <f t="shared" si="25"/>
        <v>15.961588126164587</v>
      </c>
      <c r="G341" s="1">
        <f t="shared" si="26"/>
        <v>5.0761607423693338</v>
      </c>
      <c r="H341">
        <f t="shared" si="27"/>
        <v>17.271237890198229</v>
      </c>
      <c r="I341" s="1">
        <f t="shared" si="28"/>
        <v>-6.6298070665880644</v>
      </c>
    </row>
    <row r="342" spans="4:9">
      <c r="D342">
        <v>340</v>
      </c>
      <c r="E342" s="1">
        <f t="shared" si="29"/>
        <v>5.9341194567807207</v>
      </c>
      <c r="F342" s="1">
        <f t="shared" si="25"/>
        <v>16.028392422085663</v>
      </c>
      <c r="G342" s="1">
        <f t="shared" si="26"/>
        <v>5.0591276675693493</v>
      </c>
      <c r="H342">
        <f t="shared" si="27"/>
        <v>17.384313484539305</v>
      </c>
      <c r="I342" s="1">
        <f t="shared" si="28"/>
        <v>-6.3273726515248692</v>
      </c>
    </row>
    <row r="343" spans="4:9">
      <c r="D343">
        <v>341</v>
      </c>
      <c r="E343" s="1">
        <f t="shared" si="29"/>
        <v>5.9515727493006638</v>
      </c>
      <c r="F343" s="1">
        <f t="shared" si="25"/>
        <v>16.122782877361665</v>
      </c>
      <c r="G343" s="1">
        <f t="shared" si="26"/>
        <v>5.0234672750334823</v>
      </c>
      <c r="H343">
        <f t="shared" si="27"/>
        <v>17.49209364858736</v>
      </c>
      <c r="I343" s="1">
        <f t="shared" si="28"/>
        <v>-6.0230108574573986</v>
      </c>
    </row>
    <row r="344" spans="4:9">
      <c r="D344">
        <v>342</v>
      </c>
      <c r="E344" s="1">
        <f t="shared" si="29"/>
        <v>5.9690260418206069</v>
      </c>
      <c r="F344" s="1">
        <f t="shared" si="25"/>
        <v>16.251128437750982</v>
      </c>
      <c r="G344" s="1">
        <f t="shared" si="26"/>
        <v>4.9561418468942495</v>
      </c>
      <c r="H344">
        <f t="shared" si="27"/>
        <v>17.594545551460339</v>
      </c>
      <c r="I344" s="1">
        <f t="shared" si="28"/>
        <v>-5.716814395936531</v>
      </c>
    </row>
    <row r="345" spans="4:9">
      <c r="D345">
        <v>343</v>
      </c>
      <c r="E345" s="1">
        <f t="shared" si="29"/>
        <v>5.98647933434055</v>
      </c>
      <c r="F345" s="1">
        <f t="shared" si="25"/>
        <v>16.406728248745662</v>
      </c>
      <c r="G345" s="1">
        <f t="shared" si="26"/>
        <v>4.8470260633010174</v>
      </c>
      <c r="H345">
        <f t="shared" si="27"/>
        <v>17.691637985316152</v>
      </c>
      <c r="I345" s="1">
        <f t="shared" si="28"/>
        <v>-5.4088765373706371</v>
      </c>
    </row>
    <row r="346" spans="4:9">
      <c r="D346">
        <v>344</v>
      </c>
      <c r="E346" s="1">
        <f t="shared" si="29"/>
        <v>6.003932626860494</v>
      </c>
      <c r="F346" s="1">
        <f t="shared" si="25"/>
        <v>16.577023422127443</v>
      </c>
      <c r="G346" s="1">
        <f t="shared" si="26"/>
        <v>4.6902386506266396</v>
      </c>
      <c r="H346">
        <f t="shared" si="27"/>
        <v>17.7833413748589</v>
      </c>
      <c r="I346" s="1">
        <f t="shared" si="28"/>
        <v>-5.0992910826144806</v>
      </c>
    </row>
    <row r="347" spans="4:9">
      <c r="D347">
        <v>345</v>
      </c>
      <c r="E347" s="1">
        <f t="shared" si="29"/>
        <v>6.0213859193804371</v>
      </c>
      <c r="F347" s="1">
        <f t="shared" si="25"/>
        <v>16.747107301356394</v>
      </c>
      <c r="G347" s="1">
        <f t="shared" si="26"/>
        <v>4.4848072768714946</v>
      </c>
      <c r="H347">
        <f t="shared" si="27"/>
        <v>17.869627786347763</v>
      </c>
      <c r="I347" s="1">
        <f t="shared" si="28"/>
        <v>-4.7881523343966323</v>
      </c>
    </row>
    <row r="348" spans="4:9">
      <c r="D348">
        <v>346</v>
      </c>
      <c r="E348" s="1">
        <f t="shared" si="29"/>
        <v>6.0388392119003802</v>
      </c>
      <c r="F348" s="1">
        <f t="shared" si="25"/>
        <v>16.902077795709253</v>
      </c>
      <c r="G348" s="1">
        <f t="shared" si="26"/>
        <v>4.2347348181110247</v>
      </c>
      <c r="H348">
        <f t="shared" si="27"/>
        <v>17.950470936105933</v>
      </c>
      <c r="I348" s="1">
        <f t="shared" si="28"/>
        <v>-4.4755550685938559</v>
      </c>
    </row>
    <row r="349" spans="4:9">
      <c r="D349">
        <v>347</v>
      </c>
      <c r="E349" s="1">
        <f t="shared" si="29"/>
        <v>6.0562925044203233</v>
      </c>
      <c r="F349" s="1">
        <f t="shared" si="25"/>
        <v>17.028852977710596</v>
      </c>
      <c r="G349" s="1">
        <f t="shared" si="26"/>
        <v>3.9485541363262047</v>
      </c>
      <c r="H349">
        <f t="shared" si="27"/>
        <v>18.02584619852685</v>
      </c>
      <c r="I349" s="1">
        <f t="shared" si="28"/>
        <v>-4.1615945053615091</v>
      </c>
    </row>
    <row r="350" spans="4:9">
      <c r="D350">
        <v>348</v>
      </c>
      <c r="E350" s="1">
        <f t="shared" si="29"/>
        <v>6.0737457969402664</v>
      </c>
      <c r="F350" s="1">
        <f t="shared" si="25"/>
        <v>17.1175830128416</v>
      </c>
      <c r="G350" s="1">
        <f t="shared" si="26"/>
        <v>3.6384545893107934</v>
      </c>
      <c r="H350">
        <f t="shared" si="27"/>
        <v>18.095730613575402</v>
      </c>
      <c r="I350" s="1">
        <f t="shared" si="28"/>
        <v>-3.8463662801285574</v>
      </c>
    </row>
    <row r="351" spans="4:9">
      <c r="D351">
        <v>349</v>
      </c>
      <c r="E351" s="1">
        <f t="shared" si="29"/>
        <v>6.0911990894602104</v>
      </c>
      <c r="F351" s="1">
        <f t="shared" si="25"/>
        <v>17.16265294106358</v>
      </c>
      <c r="G351" s="1">
        <f t="shared" si="26"/>
        <v>3.3190748000886514</v>
      </c>
      <c r="H351">
        <f t="shared" si="27"/>
        <v>18.160102893781783</v>
      </c>
      <c r="I351" s="1">
        <f t="shared" si="28"/>
        <v>-3.5299664144660765</v>
      </c>
    </row>
    <row r="352" spans="4:9">
      <c r="D352">
        <v>350</v>
      </c>
      <c r="E352" s="1">
        <f t="shared" si="29"/>
        <v>6.1086523819801535</v>
      </c>
      <c r="F352" s="1">
        <f t="shared" si="25"/>
        <v>17.163238219226741</v>
      </c>
      <c r="G352" s="1">
        <f t="shared" si="26"/>
        <v>3.0060716262265177</v>
      </c>
      <c r="H352">
        <f t="shared" si="27"/>
        <v>18.218943430725847</v>
      </c>
      <c r="I352" s="1">
        <f t="shared" si="28"/>
        <v>-3.2124912868382123</v>
      </c>
    </row>
    <row r="353" spans="4:9">
      <c r="D353">
        <v>351</v>
      </c>
      <c r="E353" s="1">
        <f t="shared" si="29"/>
        <v>6.1261056745000966</v>
      </c>
      <c r="F353" s="1">
        <f t="shared" si="25"/>
        <v>17.123379260444004</v>
      </c>
      <c r="G353" s="1">
        <f t="shared" si="26"/>
        <v>2.714586888795492</v>
      </c>
      <c r="H353">
        <f t="shared" si="27"/>
        <v>18.272234301010048</v>
      </c>
      <c r="I353" s="1">
        <f t="shared" si="28"/>
        <v>-2.8940376032442758</v>
      </c>
    </row>
    <row r="354" spans="4:9">
      <c r="D354">
        <v>352</v>
      </c>
      <c r="E354" s="1">
        <f t="shared" si="29"/>
        <v>6.1435589670200397</v>
      </c>
      <c r="F354" s="1">
        <f t="shared" si="25"/>
        <v>17.051556372499782</v>
      </c>
      <c r="G354" s="1">
        <f t="shared" si="26"/>
        <v>2.457736644365307</v>
      </c>
      <c r="H354">
        <f t="shared" si="27"/>
        <v>18.31995927171905</v>
      </c>
      <c r="I354" s="1">
        <f t="shared" si="28"/>
        <v>-2.5747023677612186</v>
      </c>
    </row>
    <row r="355" spans="4:9">
      <c r="D355">
        <v>353</v>
      </c>
      <c r="E355" s="1">
        <f t="shared" si="29"/>
        <v>6.1610122595399837</v>
      </c>
      <c r="F355" s="1">
        <f t="shared" si="25"/>
        <v>16.959755176306114</v>
      </c>
      <c r="G355" s="1">
        <f t="shared" si="26"/>
        <v>2.2452389285477738</v>
      </c>
      <c r="H355">
        <f t="shared" si="27"/>
        <v>18.362103805364459</v>
      </c>
      <c r="I355" s="1">
        <f t="shared" si="28"/>
        <v>-2.2545828529952239</v>
      </c>
    </row>
    <row r="356" spans="4:9">
      <c r="D356">
        <v>354</v>
      </c>
      <c r="E356" s="1">
        <f t="shared" si="29"/>
        <v>6.1784655520599268</v>
      </c>
      <c r="F356" s="1">
        <f t="shared" si="25"/>
        <v>16.861989063287162</v>
      </c>
      <c r="G356" s="1">
        <f t="shared" si="26"/>
        <v>2.0822685553018485</v>
      </c>
      <c r="H356">
        <f t="shared" si="27"/>
        <v>18.398655064313054</v>
      </c>
      <c r="I356" s="1">
        <f t="shared" si="28"/>
        <v>-1.9337765704515881</v>
      </c>
    </row>
    <row r="357" spans="4:9">
      <c r="D357">
        <v>355</v>
      </c>
      <c r="E357" s="1">
        <f t="shared" si="29"/>
        <v>6.1959188445798699</v>
      </c>
      <c r="F357" s="1">
        <f t="shared" si="25"/>
        <v>16.772123278219915</v>
      </c>
      <c r="G357" s="1">
        <f t="shared" si="26"/>
        <v>1.9685608738549858</v>
      </c>
      <c r="H357">
        <f t="shared" si="27"/>
        <v>18.429601914697294</v>
      </c>
      <c r="I357" s="1">
        <f t="shared" si="28"/>
        <v>-1.6123812408316789</v>
      </c>
    </row>
    <row r="358" spans="4:9">
      <c r="D358">
        <v>356</v>
      </c>
      <c r="E358" s="1">
        <f t="shared" si="29"/>
        <v>6.213372137099813</v>
      </c>
      <c r="F358" s="1">
        <f t="shared" si="25"/>
        <v>16.700397694908503</v>
      </c>
      <c r="G358" s="1">
        <f t="shared" si="26"/>
        <v>1.8975914273187326</v>
      </c>
      <c r="H358">
        <f t="shared" si="27"/>
        <v>18.454934929806747</v>
      </c>
      <c r="I358" s="1">
        <f t="shared" si="28"/>
        <v>-1.2904947642663243</v>
      </c>
    </row>
    <row r="359" spans="4:9">
      <c r="D359">
        <v>357</v>
      </c>
      <c r="E359" s="1">
        <f t="shared" si="29"/>
        <v>6.2308254296197561</v>
      </c>
      <c r="F359" s="1">
        <f t="shared" si="25"/>
        <v>16.646296909484203</v>
      </c>
      <c r="G359" s="1">
        <f t="shared" si="26"/>
        <v>1.854859184139541</v>
      </c>
      <c r="H359">
        <f t="shared" si="27"/>
        <v>18.474646392959617</v>
      </c>
      <c r="I359" s="1">
        <f t="shared" si="28"/>
        <v>-0.9682151904944708</v>
      </c>
    </row>
    <row r="360" spans="4:9">
      <c r="D360">
        <v>358</v>
      </c>
      <c r="E360" s="1">
        <f t="shared" si="29"/>
        <v>6.2482787221397</v>
      </c>
      <c r="F360" s="1">
        <f t="shared" si="25"/>
        <v>16.576909769426585</v>
      </c>
      <c r="G360" s="1">
        <f t="shared" si="26"/>
        <v>1.8093530872229739</v>
      </c>
      <c r="H360">
        <f t="shared" si="27"/>
        <v>18.488730299853273</v>
      </c>
      <c r="I360" s="1">
        <f t="shared" si="28"/>
        <v>-0.64564068899626526</v>
      </c>
    </row>
    <row r="361" spans="4:9">
      <c r="D361">
        <v>359</v>
      </c>
      <c r="E361" s="1">
        <f t="shared" si="29"/>
        <v>6.2657320146596431</v>
      </c>
      <c r="F361" s="1">
        <f t="shared" si="25"/>
        <v>16.323135093411452</v>
      </c>
      <c r="G361" s="1">
        <f t="shared" si="26"/>
        <v>1.6375626819602189</v>
      </c>
      <c r="H361">
        <f t="shared" si="27"/>
        <v>18.497182360393239</v>
      </c>
      <c r="I361" s="1">
        <f t="shared" si="28"/>
        <v>-0.32286951908974587</v>
      </c>
    </row>
    <row r="362" spans="4:9">
      <c r="D362">
        <v>360</v>
      </c>
      <c r="E362" s="1">
        <f t="shared" si="29"/>
        <v>6.2831853071795862</v>
      </c>
      <c r="F362" s="1">
        <f t="shared" si="25"/>
        <v>15.5</v>
      </c>
      <c r="G362" s="1">
        <f t="shared" si="26"/>
        <v>1.386783483187104E-13</v>
      </c>
      <c r="H362">
        <f t="shared" si="27"/>
        <v>18.5</v>
      </c>
      <c r="I362" s="1">
        <f t="shared" si="28"/>
        <v>-4.533049283161894E-15</v>
      </c>
    </row>
  </sheetData>
  <mergeCells count="6">
    <mergeCell ref="B14:C14"/>
    <mergeCell ref="A5:C5"/>
    <mergeCell ref="B8:C8"/>
    <mergeCell ref="B9:C9"/>
    <mergeCell ref="A10:C10"/>
    <mergeCell ref="B13:C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5B52-B909-48B4-9AFA-CA5352716D4E}">
  <dimension ref="A1:G29"/>
  <sheetViews>
    <sheetView workbookViewId="0">
      <selection activeCell="C8" sqref="C8"/>
    </sheetView>
  </sheetViews>
  <sheetFormatPr defaultRowHeight="17.399999999999999"/>
  <cols>
    <col min="1" max="1" width="24.8984375" bestFit="1" customWidth="1"/>
    <col min="2" max="2" width="17.59765625" customWidth="1"/>
    <col min="4" max="4" width="9.19921875" bestFit="1" customWidth="1"/>
    <col min="5" max="5" width="5.5" bestFit="1" customWidth="1"/>
    <col min="6" max="6" width="65.3984375" customWidth="1"/>
  </cols>
  <sheetData>
    <row r="1" spans="1:6">
      <c r="A1" s="8" t="s">
        <v>64</v>
      </c>
      <c r="B1" s="8" t="s">
        <v>24</v>
      </c>
      <c r="C1" s="8" t="s">
        <v>25</v>
      </c>
      <c r="D1" s="8" t="s">
        <v>62</v>
      </c>
      <c r="E1" s="8" t="s">
        <v>66</v>
      </c>
      <c r="F1" s="8" t="s">
        <v>70</v>
      </c>
    </row>
    <row r="2" spans="1:6">
      <c r="A2" t="s">
        <v>117</v>
      </c>
      <c r="C2">
        <v>2</v>
      </c>
    </row>
    <row r="3" spans="1:6">
      <c r="A3" t="s">
        <v>131</v>
      </c>
      <c r="C3">
        <v>2</v>
      </c>
    </row>
    <row r="4" spans="1:6">
      <c r="A4" t="s">
        <v>118</v>
      </c>
      <c r="C4">
        <v>2</v>
      </c>
    </row>
    <row r="5" spans="1:6">
      <c r="A5" t="s">
        <v>119</v>
      </c>
      <c r="C5">
        <v>2</v>
      </c>
    </row>
    <row r="6" spans="1:6">
      <c r="A6" t="s">
        <v>120</v>
      </c>
      <c r="C6">
        <v>4</v>
      </c>
      <c r="F6" t="s">
        <v>121</v>
      </c>
    </row>
    <row r="7" spans="1:6">
      <c r="A7" t="s">
        <v>122</v>
      </c>
      <c r="C7">
        <v>1</v>
      </c>
    </row>
    <row r="8" spans="1:6">
      <c r="A8" t="s">
        <v>35</v>
      </c>
    </row>
    <row r="19" spans="1:7">
      <c r="A19" s="8" t="s">
        <v>65</v>
      </c>
      <c r="B19" s="8" t="s">
        <v>24</v>
      </c>
      <c r="C19" s="8" t="s">
        <v>25</v>
      </c>
      <c r="D19" s="8" t="s">
        <v>91</v>
      </c>
      <c r="E19" s="17" t="s">
        <v>69</v>
      </c>
      <c r="F19" s="17"/>
      <c r="G19" s="17"/>
    </row>
    <row r="20" spans="1:7">
      <c r="A20" t="s">
        <v>55</v>
      </c>
      <c r="C20">
        <v>1</v>
      </c>
    </row>
    <row r="21" spans="1:7">
      <c r="A21" t="s">
        <v>56</v>
      </c>
      <c r="C21">
        <v>1</v>
      </c>
    </row>
    <row r="22" spans="1:7">
      <c r="A22" t="s">
        <v>123</v>
      </c>
      <c r="C22">
        <v>2</v>
      </c>
    </row>
    <row r="23" spans="1:7">
      <c r="A23" t="s">
        <v>125</v>
      </c>
      <c r="C23">
        <v>1</v>
      </c>
    </row>
    <row r="24" spans="1:7">
      <c r="A24" t="s">
        <v>124</v>
      </c>
      <c r="C24">
        <v>1</v>
      </c>
    </row>
    <row r="25" spans="1:7">
      <c r="A25" t="s">
        <v>126</v>
      </c>
      <c r="C25">
        <v>1</v>
      </c>
    </row>
    <row r="26" spans="1:7">
      <c r="A26" t="s">
        <v>127</v>
      </c>
      <c r="C26">
        <v>1</v>
      </c>
    </row>
    <row r="27" spans="1:7">
      <c r="A27" t="s">
        <v>128</v>
      </c>
      <c r="C27">
        <v>2</v>
      </c>
    </row>
    <row r="28" spans="1:7">
      <c r="A28" t="s">
        <v>129</v>
      </c>
      <c r="C28">
        <v>2</v>
      </c>
    </row>
    <row r="29" spans="1:7">
      <c r="A29" t="s">
        <v>130</v>
      </c>
      <c r="C29">
        <v>2</v>
      </c>
    </row>
  </sheetData>
  <mergeCells count="1">
    <mergeCell ref="E19:G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AE97-926B-4225-BAEE-0FE4C3ABCD41}">
  <dimension ref="A1:P361"/>
  <sheetViews>
    <sheetView workbookViewId="0">
      <selection activeCell="F11" sqref="F11"/>
    </sheetView>
  </sheetViews>
  <sheetFormatPr defaultRowHeight="17.399999999999999"/>
  <cols>
    <col min="2" max="2" width="8.5" bestFit="1" customWidth="1"/>
  </cols>
  <sheetData>
    <row r="1" spans="1:16">
      <c r="A1">
        <v>0</v>
      </c>
      <c r="B1" s="11">
        <f>RADIANS(A1)</f>
        <v>0</v>
      </c>
      <c r="C1" s="11" t="s">
        <v>111</v>
      </c>
      <c r="D1" s="12" t="s">
        <v>112</v>
      </c>
      <c r="E1" s="11" t="s">
        <v>113</v>
      </c>
      <c r="F1" s="11" t="s">
        <v>114</v>
      </c>
      <c r="G1" s="11">
        <f xml:space="preserve"> SQRT(B10^2 + C10^2)</f>
        <v>0.15707963267948966</v>
      </c>
      <c r="H1" s="11" t="s">
        <v>115</v>
      </c>
      <c r="I1" s="11" t="s">
        <v>116</v>
      </c>
      <c r="O1" s="9" t="s">
        <v>106</v>
      </c>
      <c r="P1">
        <v>10</v>
      </c>
    </row>
    <row r="2" spans="1:16" ht="19.2">
      <c r="A2">
        <v>1</v>
      </c>
      <c r="B2" s="11">
        <f t="shared" ref="B2:B65" si="0">RADIANS(A2)</f>
        <v>1.7453292519943295E-2</v>
      </c>
      <c r="O2" s="10" t="s">
        <v>107</v>
      </c>
      <c r="P2">
        <v>9</v>
      </c>
    </row>
    <row r="3" spans="1:16" ht="19.2">
      <c r="A3">
        <v>2</v>
      </c>
      <c r="B3" s="11">
        <f t="shared" si="0"/>
        <v>3.4906585039886591E-2</v>
      </c>
      <c r="O3" s="10" t="s">
        <v>108</v>
      </c>
      <c r="P3">
        <v>24</v>
      </c>
    </row>
    <row r="4" spans="1:16" ht="19.2">
      <c r="A4">
        <v>3</v>
      </c>
      <c r="B4" s="11">
        <f t="shared" si="0"/>
        <v>5.235987755982989E-2</v>
      </c>
      <c r="O4" s="10" t="s">
        <v>109</v>
      </c>
      <c r="P4">
        <v>1.5</v>
      </c>
    </row>
    <row r="5" spans="1:16" ht="19.2">
      <c r="A5">
        <v>4</v>
      </c>
      <c r="B5" s="11">
        <f t="shared" si="0"/>
        <v>6.9813170079773182E-2</v>
      </c>
      <c r="O5" s="10" t="s">
        <v>110</v>
      </c>
      <c r="P5">
        <v>0.2</v>
      </c>
    </row>
    <row r="6" spans="1:16">
      <c r="A6">
        <v>5</v>
      </c>
      <c r="B6" s="11">
        <f t="shared" si="0"/>
        <v>8.7266462599716474E-2</v>
      </c>
    </row>
    <row r="7" spans="1:16">
      <c r="A7">
        <v>6</v>
      </c>
      <c r="B7" s="11">
        <f t="shared" si="0"/>
        <v>0.10471975511965978</v>
      </c>
    </row>
    <row r="8" spans="1:16">
      <c r="A8">
        <v>7</v>
      </c>
      <c r="B8" s="11">
        <f t="shared" si="0"/>
        <v>0.12217304763960307</v>
      </c>
    </row>
    <row r="9" spans="1:16">
      <c r="A9">
        <v>8</v>
      </c>
      <c r="B9" s="11">
        <f t="shared" si="0"/>
        <v>0.13962634015954636</v>
      </c>
    </row>
    <row r="10" spans="1:16">
      <c r="A10">
        <v>9</v>
      </c>
      <c r="B10" s="11">
        <f t="shared" si="0"/>
        <v>0.15707963267948966</v>
      </c>
    </row>
    <row r="11" spans="1:16">
      <c r="A11">
        <v>10</v>
      </c>
      <c r="B11" s="11">
        <f t="shared" si="0"/>
        <v>0.17453292519943295</v>
      </c>
    </row>
    <row r="12" spans="1:16">
      <c r="A12">
        <v>11</v>
      </c>
      <c r="B12" s="11">
        <f t="shared" si="0"/>
        <v>0.19198621771937624</v>
      </c>
    </row>
    <row r="13" spans="1:16">
      <c r="A13">
        <v>12</v>
      </c>
      <c r="B13" s="11">
        <f t="shared" si="0"/>
        <v>0.20943951023931956</v>
      </c>
    </row>
    <row r="14" spans="1:16">
      <c r="A14">
        <v>13</v>
      </c>
      <c r="B14" s="11">
        <f t="shared" si="0"/>
        <v>0.22689280275926285</v>
      </c>
    </row>
    <row r="15" spans="1:16">
      <c r="A15">
        <v>14</v>
      </c>
      <c r="B15" s="11">
        <f t="shared" si="0"/>
        <v>0.24434609527920614</v>
      </c>
    </row>
    <row r="16" spans="1:16">
      <c r="A16">
        <v>15</v>
      </c>
      <c r="B16" s="11">
        <f t="shared" si="0"/>
        <v>0.26179938779914941</v>
      </c>
    </row>
    <row r="17" spans="1:2">
      <c r="A17">
        <v>16</v>
      </c>
      <c r="B17" s="11">
        <f t="shared" si="0"/>
        <v>0.27925268031909273</v>
      </c>
    </row>
    <row r="18" spans="1:2">
      <c r="A18">
        <v>17</v>
      </c>
      <c r="B18" s="11">
        <f t="shared" si="0"/>
        <v>0.29670597283903605</v>
      </c>
    </row>
    <row r="19" spans="1:2">
      <c r="A19">
        <v>18</v>
      </c>
      <c r="B19" s="11">
        <f t="shared" si="0"/>
        <v>0.31415926535897931</v>
      </c>
    </row>
    <row r="20" spans="1:2">
      <c r="A20">
        <v>19</v>
      </c>
      <c r="B20" s="11">
        <f t="shared" si="0"/>
        <v>0.33161255787892263</v>
      </c>
    </row>
    <row r="21" spans="1:2">
      <c r="A21">
        <v>20</v>
      </c>
      <c r="B21" s="11">
        <f t="shared" si="0"/>
        <v>0.3490658503988659</v>
      </c>
    </row>
    <row r="22" spans="1:2">
      <c r="A22">
        <v>21</v>
      </c>
      <c r="B22" s="11">
        <f t="shared" si="0"/>
        <v>0.36651914291880922</v>
      </c>
    </row>
    <row r="23" spans="1:2">
      <c r="A23">
        <v>22</v>
      </c>
      <c r="B23" s="11">
        <f t="shared" si="0"/>
        <v>0.38397243543875248</v>
      </c>
    </row>
    <row r="24" spans="1:2">
      <c r="A24">
        <v>23</v>
      </c>
      <c r="B24" s="11">
        <f t="shared" si="0"/>
        <v>0.4014257279586958</v>
      </c>
    </row>
    <row r="25" spans="1:2">
      <c r="A25">
        <v>24</v>
      </c>
      <c r="B25" s="11">
        <f t="shared" si="0"/>
        <v>0.41887902047863912</v>
      </c>
    </row>
    <row r="26" spans="1:2">
      <c r="A26">
        <v>25</v>
      </c>
      <c r="B26" s="11">
        <f t="shared" si="0"/>
        <v>0.43633231299858238</v>
      </c>
    </row>
    <row r="27" spans="1:2">
      <c r="A27">
        <v>26</v>
      </c>
      <c r="B27" s="11">
        <f t="shared" si="0"/>
        <v>0.4537856055185257</v>
      </c>
    </row>
    <row r="28" spans="1:2">
      <c r="A28">
        <v>27</v>
      </c>
      <c r="B28" s="11">
        <f t="shared" si="0"/>
        <v>0.47123889803846897</v>
      </c>
    </row>
    <row r="29" spans="1:2">
      <c r="A29">
        <v>28</v>
      </c>
      <c r="B29" s="11">
        <f t="shared" si="0"/>
        <v>0.48869219055841229</v>
      </c>
    </row>
    <row r="30" spans="1:2">
      <c r="A30">
        <v>29</v>
      </c>
      <c r="B30" s="11">
        <f t="shared" si="0"/>
        <v>0.50614548307835561</v>
      </c>
    </row>
    <row r="31" spans="1:2">
      <c r="A31">
        <v>30</v>
      </c>
      <c r="B31" s="11">
        <f t="shared" si="0"/>
        <v>0.52359877559829882</v>
      </c>
    </row>
    <row r="32" spans="1:2">
      <c r="A32">
        <v>31</v>
      </c>
      <c r="B32" s="11">
        <f t="shared" si="0"/>
        <v>0.54105206811824214</v>
      </c>
    </row>
    <row r="33" spans="1:2">
      <c r="A33">
        <v>32</v>
      </c>
      <c r="B33" s="11">
        <f t="shared" si="0"/>
        <v>0.55850536063818546</v>
      </c>
    </row>
    <row r="34" spans="1:2">
      <c r="A34">
        <v>33</v>
      </c>
      <c r="B34" s="11">
        <f t="shared" si="0"/>
        <v>0.57595865315812877</v>
      </c>
    </row>
    <row r="35" spans="1:2">
      <c r="A35">
        <v>34</v>
      </c>
      <c r="B35" s="11">
        <f t="shared" si="0"/>
        <v>0.59341194567807209</v>
      </c>
    </row>
    <row r="36" spans="1:2">
      <c r="A36">
        <v>35</v>
      </c>
      <c r="B36" s="11">
        <f t="shared" si="0"/>
        <v>0.6108652381980153</v>
      </c>
    </row>
    <row r="37" spans="1:2">
      <c r="A37">
        <v>36</v>
      </c>
      <c r="B37" s="11">
        <f t="shared" si="0"/>
        <v>0.62831853071795862</v>
      </c>
    </row>
    <row r="38" spans="1:2">
      <c r="A38">
        <v>37</v>
      </c>
      <c r="B38" s="11">
        <f t="shared" si="0"/>
        <v>0.64577182323790194</v>
      </c>
    </row>
    <row r="39" spans="1:2">
      <c r="A39">
        <v>38</v>
      </c>
      <c r="B39" s="11">
        <f t="shared" si="0"/>
        <v>0.66322511575784526</v>
      </c>
    </row>
    <row r="40" spans="1:2">
      <c r="A40">
        <v>39</v>
      </c>
      <c r="B40" s="11">
        <f t="shared" si="0"/>
        <v>0.68067840827778847</v>
      </c>
    </row>
    <row r="41" spans="1:2">
      <c r="A41">
        <v>40</v>
      </c>
      <c r="B41" s="11">
        <f t="shared" si="0"/>
        <v>0.69813170079773179</v>
      </c>
    </row>
    <row r="42" spans="1:2">
      <c r="A42">
        <v>41</v>
      </c>
      <c r="B42" s="11">
        <f t="shared" si="0"/>
        <v>0.71558499331767511</v>
      </c>
    </row>
    <row r="43" spans="1:2">
      <c r="A43">
        <v>42</v>
      </c>
      <c r="B43" s="11">
        <f t="shared" si="0"/>
        <v>0.73303828583761843</v>
      </c>
    </row>
    <row r="44" spans="1:2">
      <c r="A44">
        <v>43</v>
      </c>
      <c r="B44" s="11">
        <f t="shared" si="0"/>
        <v>0.75049157835756175</v>
      </c>
    </row>
    <row r="45" spans="1:2">
      <c r="A45">
        <v>44</v>
      </c>
      <c r="B45" s="11">
        <f t="shared" si="0"/>
        <v>0.76794487087750496</v>
      </c>
    </row>
    <row r="46" spans="1:2">
      <c r="A46">
        <v>45</v>
      </c>
      <c r="B46" s="11">
        <f t="shared" si="0"/>
        <v>0.78539816339744828</v>
      </c>
    </row>
    <row r="47" spans="1:2">
      <c r="A47">
        <v>46</v>
      </c>
      <c r="B47" s="11">
        <f t="shared" si="0"/>
        <v>0.8028514559173916</v>
      </c>
    </row>
    <row r="48" spans="1:2">
      <c r="A48">
        <v>47</v>
      </c>
      <c r="B48" s="11">
        <f t="shared" si="0"/>
        <v>0.82030474843733492</v>
      </c>
    </row>
    <row r="49" spans="1:2">
      <c r="A49">
        <v>48</v>
      </c>
      <c r="B49" s="11">
        <f t="shared" si="0"/>
        <v>0.83775804095727824</v>
      </c>
    </row>
    <row r="50" spans="1:2">
      <c r="A50">
        <v>49</v>
      </c>
      <c r="B50" s="11">
        <f t="shared" si="0"/>
        <v>0.85521133347722145</v>
      </c>
    </row>
    <row r="51" spans="1:2">
      <c r="A51">
        <v>50</v>
      </c>
      <c r="B51" s="11">
        <f t="shared" si="0"/>
        <v>0.87266462599716477</v>
      </c>
    </row>
    <row r="52" spans="1:2">
      <c r="A52">
        <v>51</v>
      </c>
      <c r="B52" s="11">
        <f t="shared" si="0"/>
        <v>0.89011791851710809</v>
      </c>
    </row>
    <row r="53" spans="1:2">
      <c r="A53">
        <v>52</v>
      </c>
      <c r="B53" s="11">
        <f t="shared" si="0"/>
        <v>0.90757121103705141</v>
      </c>
    </row>
    <row r="54" spans="1:2">
      <c r="A54">
        <v>53</v>
      </c>
      <c r="B54" s="11">
        <f t="shared" si="0"/>
        <v>0.92502450355699462</v>
      </c>
    </row>
    <row r="55" spans="1:2">
      <c r="A55">
        <v>54</v>
      </c>
      <c r="B55" s="11">
        <f t="shared" si="0"/>
        <v>0.94247779607693793</v>
      </c>
    </row>
    <row r="56" spans="1:2">
      <c r="A56">
        <v>55</v>
      </c>
      <c r="B56" s="11">
        <f t="shared" si="0"/>
        <v>0.95993108859688125</v>
      </c>
    </row>
    <row r="57" spans="1:2">
      <c r="A57">
        <v>56</v>
      </c>
      <c r="B57" s="11">
        <f t="shared" si="0"/>
        <v>0.97738438111682457</v>
      </c>
    </row>
    <row r="58" spans="1:2">
      <c r="A58">
        <v>57</v>
      </c>
      <c r="B58" s="11">
        <f t="shared" si="0"/>
        <v>0.99483767363676789</v>
      </c>
    </row>
    <row r="59" spans="1:2">
      <c r="A59">
        <v>58</v>
      </c>
      <c r="B59" s="11">
        <f t="shared" si="0"/>
        <v>1.0122909661567112</v>
      </c>
    </row>
    <row r="60" spans="1:2">
      <c r="A60">
        <v>59</v>
      </c>
      <c r="B60" s="11">
        <f t="shared" si="0"/>
        <v>1.0297442586766545</v>
      </c>
    </row>
    <row r="61" spans="1:2">
      <c r="A61">
        <v>60</v>
      </c>
      <c r="B61" s="11">
        <f t="shared" si="0"/>
        <v>1.0471975511965976</v>
      </c>
    </row>
    <row r="62" spans="1:2">
      <c r="A62">
        <v>61</v>
      </c>
      <c r="B62" s="11">
        <f t="shared" si="0"/>
        <v>1.064650843716541</v>
      </c>
    </row>
    <row r="63" spans="1:2">
      <c r="A63">
        <v>62</v>
      </c>
      <c r="B63" s="11">
        <f t="shared" si="0"/>
        <v>1.0821041362364843</v>
      </c>
    </row>
    <row r="64" spans="1:2">
      <c r="A64">
        <v>63</v>
      </c>
      <c r="B64" s="11">
        <f t="shared" si="0"/>
        <v>1.0995574287564276</v>
      </c>
    </row>
    <row r="65" spans="1:2">
      <c r="A65">
        <v>64</v>
      </c>
      <c r="B65" s="11">
        <f t="shared" si="0"/>
        <v>1.1170107212763709</v>
      </c>
    </row>
    <row r="66" spans="1:2">
      <c r="A66">
        <v>65</v>
      </c>
      <c r="B66" s="11">
        <f t="shared" ref="B66:B129" si="1">RADIANS(A66)</f>
        <v>1.1344640137963142</v>
      </c>
    </row>
    <row r="67" spans="1:2">
      <c r="A67">
        <v>66</v>
      </c>
      <c r="B67" s="11">
        <f t="shared" si="1"/>
        <v>1.1519173063162575</v>
      </c>
    </row>
    <row r="68" spans="1:2">
      <c r="A68">
        <v>67</v>
      </c>
      <c r="B68" s="11">
        <f t="shared" si="1"/>
        <v>1.1693705988362009</v>
      </c>
    </row>
    <row r="69" spans="1:2">
      <c r="A69">
        <v>68</v>
      </c>
      <c r="B69" s="11">
        <f t="shared" si="1"/>
        <v>1.1868238913561442</v>
      </c>
    </row>
    <row r="70" spans="1:2">
      <c r="A70">
        <v>69</v>
      </c>
      <c r="B70" s="11">
        <f t="shared" si="1"/>
        <v>1.2042771838760873</v>
      </c>
    </row>
    <row r="71" spans="1:2">
      <c r="A71">
        <v>70</v>
      </c>
      <c r="B71" s="11">
        <f t="shared" si="1"/>
        <v>1.2217304763960306</v>
      </c>
    </row>
    <row r="72" spans="1:2">
      <c r="A72">
        <v>71</v>
      </c>
      <c r="B72" s="11">
        <f t="shared" si="1"/>
        <v>1.2391837689159739</v>
      </c>
    </row>
    <row r="73" spans="1:2">
      <c r="A73">
        <v>72</v>
      </c>
      <c r="B73" s="11">
        <f t="shared" si="1"/>
        <v>1.2566370614359172</v>
      </c>
    </row>
    <row r="74" spans="1:2">
      <c r="A74">
        <v>73</v>
      </c>
      <c r="B74" s="11">
        <f t="shared" si="1"/>
        <v>1.2740903539558606</v>
      </c>
    </row>
    <row r="75" spans="1:2">
      <c r="A75">
        <v>74</v>
      </c>
      <c r="B75" s="11">
        <f t="shared" si="1"/>
        <v>1.2915436464758039</v>
      </c>
    </row>
    <row r="76" spans="1:2">
      <c r="A76">
        <v>75</v>
      </c>
      <c r="B76" s="11">
        <f t="shared" si="1"/>
        <v>1.3089969389957472</v>
      </c>
    </row>
    <row r="77" spans="1:2">
      <c r="A77">
        <v>76</v>
      </c>
      <c r="B77" s="11">
        <f t="shared" si="1"/>
        <v>1.3264502315156905</v>
      </c>
    </row>
    <row r="78" spans="1:2">
      <c r="A78">
        <v>77</v>
      </c>
      <c r="B78" s="11">
        <f t="shared" si="1"/>
        <v>1.3439035240356338</v>
      </c>
    </row>
    <row r="79" spans="1:2">
      <c r="A79">
        <v>78</v>
      </c>
      <c r="B79" s="11">
        <f t="shared" si="1"/>
        <v>1.3613568165555769</v>
      </c>
    </row>
    <row r="80" spans="1:2">
      <c r="A80">
        <v>79</v>
      </c>
      <c r="B80" s="11">
        <f t="shared" si="1"/>
        <v>1.3788101090755203</v>
      </c>
    </row>
    <row r="81" spans="1:2">
      <c r="A81">
        <v>80</v>
      </c>
      <c r="B81" s="11">
        <f t="shared" si="1"/>
        <v>1.3962634015954636</v>
      </c>
    </row>
    <row r="82" spans="1:2">
      <c r="A82">
        <v>81</v>
      </c>
      <c r="B82" s="11">
        <f t="shared" si="1"/>
        <v>1.4137166941154069</v>
      </c>
    </row>
    <row r="83" spans="1:2">
      <c r="A83">
        <v>82</v>
      </c>
      <c r="B83" s="11">
        <f t="shared" si="1"/>
        <v>1.4311699866353502</v>
      </c>
    </row>
    <row r="84" spans="1:2">
      <c r="A84">
        <v>83</v>
      </c>
      <c r="B84" s="11">
        <f t="shared" si="1"/>
        <v>1.4486232791552935</v>
      </c>
    </row>
    <row r="85" spans="1:2">
      <c r="A85">
        <v>84</v>
      </c>
      <c r="B85" s="11">
        <f t="shared" si="1"/>
        <v>1.4660765716752369</v>
      </c>
    </row>
    <row r="86" spans="1:2">
      <c r="A86">
        <v>85</v>
      </c>
      <c r="B86" s="11">
        <f t="shared" si="1"/>
        <v>1.4835298641951802</v>
      </c>
    </row>
    <row r="87" spans="1:2">
      <c r="A87">
        <v>86</v>
      </c>
      <c r="B87" s="11">
        <f t="shared" si="1"/>
        <v>1.5009831567151235</v>
      </c>
    </row>
    <row r="88" spans="1:2">
      <c r="A88">
        <v>87</v>
      </c>
      <c r="B88" s="11">
        <f t="shared" si="1"/>
        <v>1.5184364492350666</v>
      </c>
    </row>
    <row r="89" spans="1:2">
      <c r="A89">
        <v>88</v>
      </c>
      <c r="B89" s="11">
        <f t="shared" si="1"/>
        <v>1.5358897417550099</v>
      </c>
    </row>
    <row r="90" spans="1:2">
      <c r="A90">
        <v>89</v>
      </c>
      <c r="B90" s="11">
        <f t="shared" si="1"/>
        <v>1.5533430342749532</v>
      </c>
    </row>
    <row r="91" spans="1:2">
      <c r="A91">
        <v>90</v>
      </c>
      <c r="B91" s="11">
        <f t="shared" si="1"/>
        <v>1.5707963267948966</v>
      </c>
    </row>
    <row r="92" spans="1:2">
      <c r="A92">
        <v>91</v>
      </c>
      <c r="B92" s="11">
        <f t="shared" si="1"/>
        <v>1.5882496193148399</v>
      </c>
    </row>
    <row r="93" spans="1:2">
      <c r="A93">
        <v>92</v>
      </c>
      <c r="B93" s="11">
        <f t="shared" si="1"/>
        <v>1.6057029118347832</v>
      </c>
    </row>
    <row r="94" spans="1:2">
      <c r="A94">
        <v>93</v>
      </c>
      <c r="B94" s="11">
        <f t="shared" si="1"/>
        <v>1.6231562043547265</v>
      </c>
    </row>
    <row r="95" spans="1:2">
      <c r="A95">
        <v>94</v>
      </c>
      <c r="B95" s="11">
        <f t="shared" si="1"/>
        <v>1.6406094968746698</v>
      </c>
    </row>
    <row r="96" spans="1:2">
      <c r="A96">
        <v>95</v>
      </c>
      <c r="B96" s="11">
        <f t="shared" si="1"/>
        <v>1.6580627893946132</v>
      </c>
    </row>
    <row r="97" spans="1:2">
      <c r="A97">
        <v>96</v>
      </c>
      <c r="B97" s="11">
        <f t="shared" si="1"/>
        <v>1.6755160819145565</v>
      </c>
    </row>
    <row r="98" spans="1:2">
      <c r="A98">
        <v>97</v>
      </c>
      <c r="B98" s="11">
        <f t="shared" si="1"/>
        <v>1.6929693744344996</v>
      </c>
    </row>
    <row r="99" spans="1:2">
      <c r="A99">
        <v>98</v>
      </c>
      <c r="B99" s="11">
        <f t="shared" si="1"/>
        <v>1.7104226669544429</v>
      </c>
    </row>
    <row r="100" spans="1:2">
      <c r="A100">
        <v>99</v>
      </c>
      <c r="B100" s="11">
        <f t="shared" si="1"/>
        <v>1.7278759594743862</v>
      </c>
    </row>
    <row r="101" spans="1:2">
      <c r="A101">
        <v>100</v>
      </c>
      <c r="B101" s="11">
        <f t="shared" si="1"/>
        <v>1.7453292519943295</v>
      </c>
    </row>
    <row r="102" spans="1:2">
      <c r="A102">
        <v>101</v>
      </c>
      <c r="B102" s="11">
        <f t="shared" si="1"/>
        <v>1.7627825445142729</v>
      </c>
    </row>
    <row r="103" spans="1:2">
      <c r="A103">
        <v>102</v>
      </c>
      <c r="B103" s="11">
        <f t="shared" si="1"/>
        <v>1.7802358370342162</v>
      </c>
    </row>
    <row r="104" spans="1:2">
      <c r="A104">
        <v>103</v>
      </c>
      <c r="B104" s="11">
        <f t="shared" si="1"/>
        <v>1.7976891295541595</v>
      </c>
    </row>
    <row r="105" spans="1:2">
      <c r="A105">
        <v>104</v>
      </c>
      <c r="B105" s="11">
        <f t="shared" si="1"/>
        <v>1.8151424220741028</v>
      </c>
    </row>
    <row r="106" spans="1:2">
      <c r="A106">
        <v>105</v>
      </c>
      <c r="B106" s="11">
        <f t="shared" si="1"/>
        <v>1.8325957145940461</v>
      </c>
    </row>
    <row r="107" spans="1:2">
      <c r="A107">
        <v>106</v>
      </c>
      <c r="B107" s="11">
        <f t="shared" si="1"/>
        <v>1.8500490071139892</v>
      </c>
    </row>
    <row r="108" spans="1:2">
      <c r="A108">
        <v>107</v>
      </c>
      <c r="B108" s="11">
        <f t="shared" si="1"/>
        <v>1.8675022996339325</v>
      </c>
    </row>
    <row r="109" spans="1:2">
      <c r="A109">
        <v>108</v>
      </c>
      <c r="B109" s="11">
        <f t="shared" si="1"/>
        <v>1.8849555921538759</v>
      </c>
    </row>
    <row r="110" spans="1:2">
      <c r="A110">
        <v>109</v>
      </c>
      <c r="B110" s="11">
        <f t="shared" si="1"/>
        <v>1.9024088846738192</v>
      </c>
    </row>
    <row r="111" spans="1:2">
      <c r="A111">
        <v>110</v>
      </c>
      <c r="B111" s="11">
        <f t="shared" si="1"/>
        <v>1.9198621771937625</v>
      </c>
    </row>
    <row r="112" spans="1:2">
      <c r="A112">
        <v>111</v>
      </c>
      <c r="B112" s="11">
        <f t="shared" si="1"/>
        <v>1.9373154697137058</v>
      </c>
    </row>
    <row r="113" spans="1:2">
      <c r="A113">
        <v>112</v>
      </c>
      <c r="B113" s="11">
        <f t="shared" si="1"/>
        <v>1.9547687622336491</v>
      </c>
    </row>
    <row r="114" spans="1:2">
      <c r="A114">
        <v>113</v>
      </c>
      <c r="B114" s="11">
        <f t="shared" si="1"/>
        <v>1.9722220547535925</v>
      </c>
    </row>
    <row r="115" spans="1:2">
      <c r="A115">
        <v>114</v>
      </c>
      <c r="B115" s="11">
        <f t="shared" si="1"/>
        <v>1.9896753472735358</v>
      </c>
    </row>
    <row r="116" spans="1:2">
      <c r="A116">
        <v>115</v>
      </c>
      <c r="B116" s="11">
        <f t="shared" si="1"/>
        <v>2.0071286397934789</v>
      </c>
    </row>
    <row r="117" spans="1:2">
      <c r="A117">
        <v>116</v>
      </c>
      <c r="B117" s="11">
        <f t="shared" si="1"/>
        <v>2.0245819323134224</v>
      </c>
    </row>
    <row r="118" spans="1:2">
      <c r="A118">
        <v>117</v>
      </c>
      <c r="B118" s="11">
        <f t="shared" si="1"/>
        <v>2.0420352248333655</v>
      </c>
    </row>
    <row r="119" spans="1:2">
      <c r="A119">
        <v>118</v>
      </c>
      <c r="B119" s="11">
        <f t="shared" si="1"/>
        <v>2.0594885173533091</v>
      </c>
    </row>
    <row r="120" spans="1:2">
      <c r="A120">
        <v>119</v>
      </c>
      <c r="B120" s="11">
        <f t="shared" si="1"/>
        <v>2.0769418098732522</v>
      </c>
    </row>
    <row r="121" spans="1:2">
      <c r="A121">
        <v>120</v>
      </c>
      <c r="B121" s="11">
        <f t="shared" si="1"/>
        <v>2.0943951023931953</v>
      </c>
    </row>
    <row r="122" spans="1:2">
      <c r="A122">
        <v>121</v>
      </c>
      <c r="B122" s="11">
        <f t="shared" si="1"/>
        <v>2.1118483949131388</v>
      </c>
    </row>
    <row r="123" spans="1:2">
      <c r="A123">
        <v>122</v>
      </c>
      <c r="B123" s="11">
        <f t="shared" si="1"/>
        <v>2.1293016874330819</v>
      </c>
    </row>
    <row r="124" spans="1:2">
      <c r="A124">
        <v>123</v>
      </c>
      <c r="B124" s="11">
        <f t="shared" si="1"/>
        <v>2.1467549799530254</v>
      </c>
    </row>
    <row r="125" spans="1:2">
      <c r="A125">
        <v>124</v>
      </c>
      <c r="B125" s="11">
        <f t="shared" si="1"/>
        <v>2.1642082724729685</v>
      </c>
    </row>
    <row r="126" spans="1:2">
      <c r="A126">
        <v>125</v>
      </c>
      <c r="B126" s="11">
        <f t="shared" si="1"/>
        <v>2.1816615649929121</v>
      </c>
    </row>
    <row r="127" spans="1:2">
      <c r="A127">
        <v>126</v>
      </c>
      <c r="B127" s="11">
        <f t="shared" si="1"/>
        <v>2.1991148575128552</v>
      </c>
    </row>
    <row r="128" spans="1:2">
      <c r="A128">
        <v>127</v>
      </c>
      <c r="B128" s="11">
        <f t="shared" si="1"/>
        <v>2.2165681500327987</v>
      </c>
    </row>
    <row r="129" spans="1:2">
      <c r="A129">
        <v>128</v>
      </c>
      <c r="B129" s="11">
        <f t="shared" si="1"/>
        <v>2.2340214425527418</v>
      </c>
    </row>
    <row r="130" spans="1:2">
      <c r="A130">
        <v>129</v>
      </c>
      <c r="B130" s="11">
        <f t="shared" ref="B130:B193" si="2">RADIANS(A130)</f>
        <v>2.2514747350726849</v>
      </c>
    </row>
    <row r="131" spans="1:2">
      <c r="A131">
        <v>130</v>
      </c>
      <c r="B131" s="11">
        <f t="shared" si="2"/>
        <v>2.2689280275926285</v>
      </c>
    </row>
    <row r="132" spans="1:2">
      <c r="A132">
        <v>131</v>
      </c>
      <c r="B132" s="11">
        <f t="shared" si="2"/>
        <v>2.2863813201125716</v>
      </c>
    </row>
    <row r="133" spans="1:2">
      <c r="A133">
        <v>132</v>
      </c>
      <c r="B133" s="11">
        <f t="shared" si="2"/>
        <v>2.3038346126325151</v>
      </c>
    </row>
    <row r="134" spans="1:2">
      <c r="A134">
        <v>133</v>
      </c>
      <c r="B134" s="11">
        <f t="shared" si="2"/>
        <v>2.3212879051524582</v>
      </c>
    </row>
    <row r="135" spans="1:2">
      <c r="A135">
        <v>134</v>
      </c>
      <c r="B135" s="11">
        <f t="shared" si="2"/>
        <v>2.3387411976724017</v>
      </c>
    </row>
    <row r="136" spans="1:2">
      <c r="A136">
        <v>135</v>
      </c>
      <c r="B136" s="11">
        <f t="shared" si="2"/>
        <v>2.3561944901923448</v>
      </c>
    </row>
    <row r="137" spans="1:2">
      <c r="A137">
        <v>136</v>
      </c>
      <c r="B137" s="11">
        <f t="shared" si="2"/>
        <v>2.3736477827122884</v>
      </c>
    </row>
    <row r="138" spans="1:2">
      <c r="A138">
        <v>137</v>
      </c>
      <c r="B138" s="11">
        <f t="shared" si="2"/>
        <v>2.3911010752322315</v>
      </c>
    </row>
    <row r="139" spans="1:2">
      <c r="A139">
        <v>138</v>
      </c>
      <c r="B139" s="11">
        <f t="shared" si="2"/>
        <v>2.4085543677521746</v>
      </c>
    </row>
    <row r="140" spans="1:2">
      <c r="A140">
        <v>139</v>
      </c>
      <c r="B140" s="11">
        <f t="shared" si="2"/>
        <v>2.4260076602721181</v>
      </c>
    </row>
    <row r="141" spans="1:2">
      <c r="A141">
        <v>140</v>
      </c>
      <c r="B141" s="11">
        <f t="shared" si="2"/>
        <v>2.4434609527920612</v>
      </c>
    </row>
    <row r="142" spans="1:2">
      <c r="A142">
        <v>141</v>
      </c>
      <c r="B142" s="11">
        <f t="shared" si="2"/>
        <v>2.4609142453120048</v>
      </c>
    </row>
    <row r="143" spans="1:2">
      <c r="A143">
        <v>142</v>
      </c>
      <c r="B143" s="11">
        <f t="shared" si="2"/>
        <v>2.4783675378319479</v>
      </c>
    </row>
    <row r="144" spans="1:2">
      <c r="A144">
        <v>143</v>
      </c>
      <c r="B144" s="11">
        <f t="shared" si="2"/>
        <v>2.4958208303518914</v>
      </c>
    </row>
    <row r="145" spans="1:2">
      <c r="A145">
        <v>144</v>
      </c>
      <c r="B145" s="11">
        <f t="shared" si="2"/>
        <v>2.5132741228718345</v>
      </c>
    </row>
    <row r="146" spans="1:2">
      <c r="A146">
        <v>145</v>
      </c>
      <c r="B146" s="11">
        <f t="shared" si="2"/>
        <v>2.530727415391778</v>
      </c>
    </row>
    <row r="147" spans="1:2">
      <c r="A147">
        <v>146</v>
      </c>
      <c r="B147" s="11">
        <f t="shared" si="2"/>
        <v>2.5481807079117211</v>
      </c>
    </row>
    <row r="148" spans="1:2">
      <c r="A148">
        <v>147</v>
      </c>
      <c r="B148" s="11">
        <f t="shared" si="2"/>
        <v>2.5656340004316642</v>
      </c>
    </row>
    <row r="149" spans="1:2">
      <c r="A149">
        <v>148</v>
      </c>
      <c r="B149" s="11">
        <f t="shared" si="2"/>
        <v>2.5830872929516078</v>
      </c>
    </row>
    <row r="150" spans="1:2">
      <c r="A150">
        <v>149</v>
      </c>
      <c r="B150" s="11">
        <f t="shared" si="2"/>
        <v>2.6005405854715509</v>
      </c>
    </row>
    <row r="151" spans="1:2">
      <c r="A151">
        <v>150</v>
      </c>
      <c r="B151" s="11">
        <f t="shared" si="2"/>
        <v>2.6179938779914944</v>
      </c>
    </row>
    <row r="152" spans="1:2">
      <c r="A152">
        <v>151</v>
      </c>
      <c r="B152" s="11">
        <f t="shared" si="2"/>
        <v>2.6354471705114375</v>
      </c>
    </row>
    <row r="153" spans="1:2">
      <c r="A153">
        <v>152</v>
      </c>
      <c r="B153" s="11">
        <f t="shared" si="2"/>
        <v>2.6529004630313811</v>
      </c>
    </row>
    <row r="154" spans="1:2">
      <c r="A154">
        <v>153</v>
      </c>
      <c r="B154" s="11">
        <f t="shared" si="2"/>
        <v>2.6703537555513241</v>
      </c>
    </row>
    <row r="155" spans="1:2">
      <c r="A155">
        <v>154</v>
      </c>
      <c r="B155" s="11">
        <f t="shared" si="2"/>
        <v>2.6878070480712677</v>
      </c>
    </row>
    <row r="156" spans="1:2">
      <c r="A156">
        <v>155</v>
      </c>
      <c r="B156" s="11">
        <f t="shared" si="2"/>
        <v>2.7052603405912108</v>
      </c>
    </row>
    <row r="157" spans="1:2">
      <c r="A157">
        <v>156</v>
      </c>
      <c r="B157" s="11">
        <f t="shared" si="2"/>
        <v>2.7227136331111539</v>
      </c>
    </row>
    <row r="158" spans="1:2">
      <c r="A158">
        <v>157</v>
      </c>
      <c r="B158" s="11">
        <f t="shared" si="2"/>
        <v>2.7401669256310974</v>
      </c>
    </row>
    <row r="159" spans="1:2">
      <c r="A159">
        <v>158</v>
      </c>
      <c r="B159" s="11">
        <f t="shared" si="2"/>
        <v>2.7576202181510405</v>
      </c>
    </row>
    <row r="160" spans="1:2">
      <c r="A160">
        <v>159</v>
      </c>
      <c r="B160" s="11">
        <f t="shared" si="2"/>
        <v>2.7750735106709841</v>
      </c>
    </row>
    <row r="161" spans="1:2">
      <c r="A161">
        <v>160</v>
      </c>
      <c r="B161" s="11">
        <f t="shared" si="2"/>
        <v>2.7925268031909272</v>
      </c>
    </row>
    <row r="162" spans="1:2">
      <c r="A162">
        <v>161</v>
      </c>
      <c r="B162" s="11">
        <f t="shared" si="2"/>
        <v>2.8099800957108707</v>
      </c>
    </row>
    <row r="163" spans="1:2">
      <c r="A163">
        <v>162</v>
      </c>
      <c r="B163" s="11">
        <f t="shared" si="2"/>
        <v>2.8274333882308138</v>
      </c>
    </row>
    <row r="164" spans="1:2">
      <c r="A164">
        <v>163</v>
      </c>
      <c r="B164" s="11">
        <f t="shared" si="2"/>
        <v>2.8448866807507573</v>
      </c>
    </row>
    <row r="165" spans="1:2">
      <c r="A165">
        <v>164</v>
      </c>
      <c r="B165" s="11">
        <f t="shared" si="2"/>
        <v>2.8623399732707004</v>
      </c>
    </row>
    <row r="166" spans="1:2">
      <c r="A166">
        <v>165</v>
      </c>
      <c r="B166" s="11">
        <f t="shared" si="2"/>
        <v>2.8797932657906435</v>
      </c>
    </row>
    <row r="167" spans="1:2">
      <c r="A167">
        <v>166</v>
      </c>
      <c r="B167" s="11">
        <f t="shared" si="2"/>
        <v>2.8972465583105871</v>
      </c>
    </row>
    <row r="168" spans="1:2">
      <c r="A168">
        <v>167</v>
      </c>
      <c r="B168" s="11">
        <f t="shared" si="2"/>
        <v>2.9146998508305302</v>
      </c>
    </row>
    <row r="169" spans="1:2">
      <c r="A169">
        <v>168</v>
      </c>
      <c r="B169" s="11">
        <f t="shared" si="2"/>
        <v>2.9321531433504737</v>
      </c>
    </row>
    <row r="170" spans="1:2">
      <c r="A170">
        <v>169</v>
      </c>
      <c r="B170" s="11">
        <f t="shared" si="2"/>
        <v>2.9496064358704168</v>
      </c>
    </row>
    <row r="171" spans="1:2">
      <c r="A171">
        <v>170</v>
      </c>
      <c r="B171" s="11">
        <f t="shared" si="2"/>
        <v>2.9670597283903604</v>
      </c>
    </row>
    <row r="172" spans="1:2">
      <c r="A172">
        <v>171</v>
      </c>
      <c r="B172" s="11">
        <f t="shared" si="2"/>
        <v>2.9845130209103035</v>
      </c>
    </row>
    <row r="173" spans="1:2">
      <c r="A173">
        <v>172</v>
      </c>
      <c r="B173" s="11">
        <f t="shared" si="2"/>
        <v>3.001966313430247</v>
      </c>
    </row>
    <row r="174" spans="1:2">
      <c r="A174">
        <v>173</v>
      </c>
      <c r="B174" s="11">
        <f t="shared" si="2"/>
        <v>3.0194196059501901</v>
      </c>
    </row>
    <row r="175" spans="1:2">
      <c r="A175">
        <v>174</v>
      </c>
      <c r="B175" s="11">
        <f t="shared" si="2"/>
        <v>3.0368728984701332</v>
      </c>
    </row>
    <row r="176" spans="1:2">
      <c r="A176">
        <v>175</v>
      </c>
      <c r="B176" s="11">
        <f t="shared" si="2"/>
        <v>3.0543261909900767</v>
      </c>
    </row>
    <row r="177" spans="1:2">
      <c r="A177">
        <v>176</v>
      </c>
      <c r="B177" s="11">
        <f t="shared" si="2"/>
        <v>3.0717794835100198</v>
      </c>
    </row>
    <row r="178" spans="1:2">
      <c r="A178">
        <v>177</v>
      </c>
      <c r="B178" s="11">
        <f t="shared" si="2"/>
        <v>3.0892327760299634</v>
      </c>
    </row>
    <row r="179" spans="1:2">
      <c r="A179">
        <v>178</v>
      </c>
      <c r="B179" s="11">
        <f t="shared" si="2"/>
        <v>3.1066860685499065</v>
      </c>
    </row>
    <row r="180" spans="1:2">
      <c r="A180">
        <v>179</v>
      </c>
      <c r="B180" s="11">
        <f t="shared" si="2"/>
        <v>3.12413936106985</v>
      </c>
    </row>
    <row r="181" spans="1:2">
      <c r="A181">
        <v>180</v>
      </c>
      <c r="B181" s="11">
        <f t="shared" si="2"/>
        <v>3.1415926535897931</v>
      </c>
    </row>
    <row r="182" spans="1:2">
      <c r="A182">
        <v>181</v>
      </c>
      <c r="B182" s="11">
        <f t="shared" si="2"/>
        <v>3.1590459461097367</v>
      </c>
    </row>
    <row r="183" spans="1:2">
      <c r="A183">
        <v>182</v>
      </c>
      <c r="B183" s="11">
        <f t="shared" si="2"/>
        <v>3.1764992386296798</v>
      </c>
    </row>
    <row r="184" spans="1:2">
      <c r="A184">
        <v>183</v>
      </c>
      <c r="B184" s="11">
        <f t="shared" si="2"/>
        <v>3.1939525311496229</v>
      </c>
    </row>
    <row r="185" spans="1:2">
      <c r="A185">
        <v>184</v>
      </c>
      <c r="B185" s="11">
        <f t="shared" si="2"/>
        <v>3.2114058236695664</v>
      </c>
    </row>
    <row r="186" spans="1:2">
      <c r="A186">
        <v>185</v>
      </c>
      <c r="B186" s="11">
        <f t="shared" si="2"/>
        <v>3.2288591161895095</v>
      </c>
    </row>
    <row r="187" spans="1:2">
      <c r="A187">
        <v>186</v>
      </c>
      <c r="B187" s="11">
        <f t="shared" si="2"/>
        <v>3.246312408709453</v>
      </c>
    </row>
    <row r="188" spans="1:2">
      <c r="A188">
        <v>187</v>
      </c>
      <c r="B188" s="11">
        <f t="shared" si="2"/>
        <v>3.2637657012293961</v>
      </c>
    </row>
    <row r="189" spans="1:2">
      <c r="A189">
        <v>188</v>
      </c>
      <c r="B189" s="11">
        <f t="shared" si="2"/>
        <v>3.2812189937493397</v>
      </c>
    </row>
    <row r="190" spans="1:2">
      <c r="A190">
        <v>189</v>
      </c>
      <c r="B190" s="11">
        <f t="shared" si="2"/>
        <v>3.2986722862692828</v>
      </c>
    </row>
    <row r="191" spans="1:2">
      <c r="A191">
        <v>190</v>
      </c>
      <c r="B191" s="11">
        <f t="shared" si="2"/>
        <v>3.3161255787892263</v>
      </c>
    </row>
    <row r="192" spans="1:2">
      <c r="A192">
        <v>191</v>
      </c>
      <c r="B192" s="11">
        <f t="shared" si="2"/>
        <v>3.3335788713091694</v>
      </c>
    </row>
    <row r="193" spans="1:2">
      <c r="A193">
        <v>192</v>
      </c>
      <c r="B193" s="11">
        <f t="shared" si="2"/>
        <v>3.351032163829113</v>
      </c>
    </row>
    <row r="194" spans="1:2">
      <c r="A194">
        <v>193</v>
      </c>
      <c r="B194" s="11">
        <f t="shared" ref="B194:B257" si="3">RADIANS(A194)</f>
        <v>3.3684854563490561</v>
      </c>
    </row>
    <row r="195" spans="1:2">
      <c r="A195">
        <v>194</v>
      </c>
      <c r="B195" s="11">
        <f t="shared" si="3"/>
        <v>3.3859387488689991</v>
      </c>
    </row>
    <row r="196" spans="1:2">
      <c r="A196">
        <v>195</v>
      </c>
      <c r="B196" s="11">
        <f t="shared" si="3"/>
        <v>3.4033920413889427</v>
      </c>
    </row>
    <row r="197" spans="1:2">
      <c r="A197">
        <v>196</v>
      </c>
      <c r="B197" s="11">
        <f t="shared" si="3"/>
        <v>3.4208453339088858</v>
      </c>
    </row>
    <row r="198" spans="1:2">
      <c r="A198">
        <v>197</v>
      </c>
      <c r="B198" s="11">
        <f t="shared" si="3"/>
        <v>3.4382986264288293</v>
      </c>
    </row>
    <row r="199" spans="1:2">
      <c r="A199">
        <v>198</v>
      </c>
      <c r="B199" s="11">
        <f t="shared" si="3"/>
        <v>3.4557519189487724</v>
      </c>
    </row>
    <row r="200" spans="1:2">
      <c r="A200">
        <v>199</v>
      </c>
      <c r="B200" s="11">
        <f t="shared" si="3"/>
        <v>3.473205211468716</v>
      </c>
    </row>
    <row r="201" spans="1:2">
      <c r="A201">
        <v>200</v>
      </c>
      <c r="B201" s="11">
        <f t="shared" si="3"/>
        <v>3.4906585039886591</v>
      </c>
    </row>
    <row r="202" spans="1:2">
      <c r="A202">
        <v>201</v>
      </c>
      <c r="B202" s="11">
        <f t="shared" si="3"/>
        <v>3.5081117965086026</v>
      </c>
    </row>
    <row r="203" spans="1:2">
      <c r="A203">
        <v>202</v>
      </c>
      <c r="B203" s="11">
        <f t="shared" si="3"/>
        <v>3.5255650890285457</v>
      </c>
    </row>
    <row r="204" spans="1:2">
      <c r="A204">
        <v>203</v>
      </c>
      <c r="B204" s="11">
        <f t="shared" si="3"/>
        <v>3.5430183815484888</v>
      </c>
    </row>
    <row r="205" spans="1:2">
      <c r="A205">
        <v>204</v>
      </c>
      <c r="B205" s="11">
        <f t="shared" si="3"/>
        <v>3.5604716740684323</v>
      </c>
    </row>
    <row r="206" spans="1:2">
      <c r="A206">
        <v>205</v>
      </c>
      <c r="B206" s="11">
        <f t="shared" si="3"/>
        <v>3.5779249665883754</v>
      </c>
    </row>
    <row r="207" spans="1:2">
      <c r="A207">
        <v>206</v>
      </c>
      <c r="B207" s="11">
        <f t="shared" si="3"/>
        <v>3.595378259108319</v>
      </c>
    </row>
    <row r="208" spans="1:2">
      <c r="A208">
        <v>207</v>
      </c>
      <c r="B208" s="11">
        <f t="shared" si="3"/>
        <v>3.6128315516282621</v>
      </c>
    </row>
    <row r="209" spans="1:2">
      <c r="A209">
        <v>208</v>
      </c>
      <c r="B209" s="11">
        <f t="shared" si="3"/>
        <v>3.6302848441482056</v>
      </c>
    </row>
    <row r="210" spans="1:2">
      <c r="A210">
        <v>209</v>
      </c>
      <c r="B210" s="11">
        <f t="shared" si="3"/>
        <v>3.6477381366681487</v>
      </c>
    </row>
    <row r="211" spans="1:2">
      <c r="A211">
        <v>210</v>
      </c>
      <c r="B211" s="11">
        <f t="shared" si="3"/>
        <v>3.6651914291880923</v>
      </c>
    </row>
    <row r="212" spans="1:2">
      <c r="A212">
        <v>211</v>
      </c>
      <c r="B212" s="11">
        <f t="shared" si="3"/>
        <v>3.6826447217080354</v>
      </c>
    </row>
    <row r="213" spans="1:2">
      <c r="A213">
        <v>212</v>
      </c>
      <c r="B213" s="11">
        <f t="shared" si="3"/>
        <v>3.7000980142279785</v>
      </c>
    </row>
    <row r="214" spans="1:2">
      <c r="A214">
        <v>213</v>
      </c>
      <c r="B214" s="11">
        <f t="shared" si="3"/>
        <v>3.717551306747922</v>
      </c>
    </row>
    <row r="215" spans="1:2">
      <c r="A215">
        <v>214</v>
      </c>
      <c r="B215" s="11">
        <f t="shared" si="3"/>
        <v>3.7350045992678651</v>
      </c>
    </row>
    <row r="216" spans="1:2">
      <c r="A216">
        <v>215</v>
      </c>
      <c r="B216" s="11">
        <f t="shared" si="3"/>
        <v>3.7524578917878086</v>
      </c>
    </row>
    <row r="217" spans="1:2">
      <c r="A217">
        <v>216</v>
      </c>
      <c r="B217" s="11">
        <f t="shared" si="3"/>
        <v>3.7699111843077517</v>
      </c>
    </row>
    <row r="218" spans="1:2">
      <c r="A218">
        <v>217</v>
      </c>
      <c r="B218" s="11">
        <f t="shared" si="3"/>
        <v>3.7873644768276953</v>
      </c>
    </row>
    <row r="219" spans="1:2">
      <c r="A219">
        <v>218</v>
      </c>
      <c r="B219" s="11">
        <f t="shared" si="3"/>
        <v>3.8048177693476384</v>
      </c>
    </row>
    <row r="220" spans="1:2">
      <c r="A220">
        <v>219</v>
      </c>
      <c r="B220" s="11">
        <f t="shared" si="3"/>
        <v>3.8222710618675819</v>
      </c>
    </row>
    <row r="221" spans="1:2">
      <c r="A221">
        <v>220</v>
      </c>
      <c r="B221" s="11">
        <f t="shared" si="3"/>
        <v>3.839724354387525</v>
      </c>
    </row>
    <row r="222" spans="1:2">
      <c r="A222">
        <v>221</v>
      </c>
      <c r="B222" s="11">
        <f t="shared" si="3"/>
        <v>3.8571776469074681</v>
      </c>
    </row>
    <row r="223" spans="1:2">
      <c r="A223">
        <v>222</v>
      </c>
      <c r="B223" s="11">
        <f t="shared" si="3"/>
        <v>3.8746309394274117</v>
      </c>
    </row>
    <row r="224" spans="1:2">
      <c r="A224">
        <v>223</v>
      </c>
      <c r="B224" s="11">
        <f t="shared" si="3"/>
        <v>3.8920842319473548</v>
      </c>
    </row>
    <row r="225" spans="1:2">
      <c r="A225">
        <v>224</v>
      </c>
      <c r="B225" s="11">
        <f t="shared" si="3"/>
        <v>3.9095375244672983</v>
      </c>
    </row>
    <row r="226" spans="1:2">
      <c r="A226">
        <v>225</v>
      </c>
      <c r="B226" s="11">
        <f t="shared" si="3"/>
        <v>3.9269908169872414</v>
      </c>
    </row>
    <row r="227" spans="1:2">
      <c r="A227">
        <v>226</v>
      </c>
      <c r="B227" s="11">
        <f t="shared" si="3"/>
        <v>3.9444441095071849</v>
      </c>
    </row>
    <row r="228" spans="1:2">
      <c r="A228">
        <v>227</v>
      </c>
      <c r="B228" s="11">
        <f t="shared" si="3"/>
        <v>3.961897402027128</v>
      </c>
    </row>
    <row r="229" spans="1:2">
      <c r="A229">
        <v>228</v>
      </c>
      <c r="B229" s="11">
        <f t="shared" si="3"/>
        <v>3.9793506945470716</v>
      </c>
    </row>
    <row r="230" spans="1:2">
      <c r="A230">
        <v>229</v>
      </c>
      <c r="B230" s="11">
        <f t="shared" si="3"/>
        <v>3.9968039870670147</v>
      </c>
    </row>
    <row r="231" spans="1:2">
      <c r="A231">
        <v>230</v>
      </c>
      <c r="B231" s="11">
        <f t="shared" si="3"/>
        <v>4.0142572795869578</v>
      </c>
    </row>
    <row r="232" spans="1:2">
      <c r="A232">
        <v>231</v>
      </c>
      <c r="B232" s="11">
        <f t="shared" si="3"/>
        <v>4.0317105721069009</v>
      </c>
    </row>
    <row r="233" spans="1:2">
      <c r="A233">
        <v>232</v>
      </c>
      <c r="B233" s="11">
        <f t="shared" si="3"/>
        <v>4.0491638646268449</v>
      </c>
    </row>
    <row r="234" spans="1:2">
      <c r="A234">
        <v>233</v>
      </c>
      <c r="B234" s="11">
        <f t="shared" si="3"/>
        <v>4.066617157146788</v>
      </c>
    </row>
    <row r="235" spans="1:2">
      <c r="A235">
        <v>234</v>
      </c>
      <c r="B235" s="11">
        <f t="shared" si="3"/>
        <v>4.0840704496667311</v>
      </c>
    </row>
    <row r="236" spans="1:2">
      <c r="A236">
        <v>235</v>
      </c>
      <c r="B236" s="11">
        <f t="shared" si="3"/>
        <v>4.1015237421866741</v>
      </c>
    </row>
    <row r="237" spans="1:2">
      <c r="A237">
        <v>236</v>
      </c>
      <c r="B237" s="11">
        <f t="shared" si="3"/>
        <v>4.1189770347066181</v>
      </c>
    </row>
    <row r="238" spans="1:2">
      <c r="A238">
        <v>237</v>
      </c>
      <c r="B238" s="11">
        <f t="shared" si="3"/>
        <v>4.1364303272265612</v>
      </c>
    </row>
    <row r="239" spans="1:2">
      <c r="A239">
        <v>238</v>
      </c>
      <c r="B239" s="11">
        <f t="shared" si="3"/>
        <v>4.1538836197465043</v>
      </c>
    </row>
    <row r="240" spans="1:2">
      <c r="A240">
        <v>239</v>
      </c>
      <c r="B240" s="11">
        <f t="shared" si="3"/>
        <v>4.1713369122664474</v>
      </c>
    </row>
    <row r="241" spans="1:2">
      <c r="A241">
        <v>240</v>
      </c>
      <c r="B241" s="11">
        <f t="shared" si="3"/>
        <v>4.1887902047863905</v>
      </c>
    </row>
    <row r="242" spans="1:2">
      <c r="A242">
        <v>241</v>
      </c>
      <c r="B242" s="11">
        <f t="shared" si="3"/>
        <v>4.2062434973063345</v>
      </c>
    </row>
    <row r="243" spans="1:2">
      <c r="A243">
        <v>242</v>
      </c>
      <c r="B243" s="11">
        <f t="shared" si="3"/>
        <v>4.2236967898262776</v>
      </c>
    </row>
    <row r="244" spans="1:2">
      <c r="A244">
        <v>243</v>
      </c>
      <c r="B244" s="11">
        <f t="shared" si="3"/>
        <v>4.2411500823462207</v>
      </c>
    </row>
    <row r="245" spans="1:2">
      <c r="A245">
        <v>244</v>
      </c>
      <c r="B245" s="11">
        <f t="shared" si="3"/>
        <v>4.2586033748661638</v>
      </c>
    </row>
    <row r="246" spans="1:2">
      <c r="A246">
        <v>245</v>
      </c>
      <c r="B246" s="11">
        <f t="shared" si="3"/>
        <v>4.2760566673861078</v>
      </c>
    </row>
    <row r="247" spans="1:2">
      <c r="A247">
        <v>246</v>
      </c>
      <c r="B247" s="11">
        <f t="shared" si="3"/>
        <v>4.2935099599060509</v>
      </c>
    </row>
    <row r="248" spans="1:2">
      <c r="A248">
        <v>247</v>
      </c>
      <c r="B248" s="11">
        <f t="shared" si="3"/>
        <v>4.310963252425994</v>
      </c>
    </row>
    <row r="249" spans="1:2">
      <c r="A249">
        <v>248</v>
      </c>
      <c r="B249" s="11">
        <f t="shared" si="3"/>
        <v>4.3284165449459371</v>
      </c>
    </row>
    <row r="250" spans="1:2">
      <c r="A250">
        <v>249</v>
      </c>
      <c r="B250" s="11">
        <f t="shared" si="3"/>
        <v>4.3458698374658802</v>
      </c>
    </row>
    <row r="251" spans="1:2">
      <c r="A251">
        <v>250</v>
      </c>
      <c r="B251" s="11">
        <f t="shared" si="3"/>
        <v>4.3633231299858242</v>
      </c>
    </row>
    <row r="252" spans="1:2">
      <c r="A252">
        <v>251</v>
      </c>
      <c r="B252" s="11">
        <f t="shared" si="3"/>
        <v>4.3807764225057673</v>
      </c>
    </row>
    <row r="253" spans="1:2">
      <c r="A253">
        <v>252</v>
      </c>
      <c r="B253" s="11">
        <f t="shared" si="3"/>
        <v>4.3982297150257104</v>
      </c>
    </row>
    <row r="254" spans="1:2">
      <c r="A254">
        <v>253</v>
      </c>
      <c r="B254" s="11">
        <f t="shared" si="3"/>
        <v>4.4156830075456535</v>
      </c>
    </row>
    <row r="255" spans="1:2">
      <c r="A255">
        <v>254</v>
      </c>
      <c r="B255" s="11">
        <f t="shared" si="3"/>
        <v>4.4331363000655974</v>
      </c>
    </row>
    <row r="256" spans="1:2">
      <c r="A256">
        <v>255</v>
      </c>
      <c r="B256" s="11">
        <f t="shared" si="3"/>
        <v>4.4505895925855405</v>
      </c>
    </row>
    <row r="257" spans="1:2">
      <c r="A257">
        <v>256</v>
      </c>
      <c r="B257" s="11">
        <f t="shared" si="3"/>
        <v>4.4680428851054836</v>
      </c>
    </row>
    <row r="258" spans="1:2">
      <c r="A258">
        <v>257</v>
      </c>
      <c r="B258" s="11">
        <f t="shared" ref="B258:B321" si="4">RADIANS(A258)</f>
        <v>4.4854961776254267</v>
      </c>
    </row>
    <row r="259" spans="1:2">
      <c r="A259">
        <v>258</v>
      </c>
      <c r="B259" s="11">
        <f t="shared" si="4"/>
        <v>4.5029494701453698</v>
      </c>
    </row>
    <row r="260" spans="1:2">
      <c r="A260">
        <v>259</v>
      </c>
      <c r="B260" s="11">
        <f t="shared" si="4"/>
        <v>4.5204027626653138</v>
      </c>
    </row>
    <row r="261" spans="1:2">
      <c r="A261">
        <v>260</v>
      </c>
      <c r="B261" s="11">
        <f t="shared" si="4"/>
        <v>4.5378560551852569</v>
      </c>
    </row>
    <row r="262" spans="1:2">
      <c r="A262">
        <v>261</v>
      </c>
      <c r="B262" s="11">
        <f t="shared" si="4"/>
        <v>4.5553093477052</v>
      </c>
    </row>
    <row r="263" spans="1:2">
      <c r="A263">
        <v>262</v>
      </c>
      <c r="B263" s="11">
        <f t="shared" si="4"/>
        <v>4.5727626402251431</v>
      </c>
    </row>
    <row r="264" spans="1:2">
      <c r="A264">
        <v>263</v>
      </c>
      <c r="B264" s="11">
        <f t="shared" si="4"/>
        <v>4.5902159327450871</v>
      </c>
    </row>
    <row r="265" spans="1:2">
      <c r="A265">
        <v>264</v>
      </c>
      <c r="B265" s="11">
        <f t="shared" si="4"/>
        <v>4.6076692252650302</v>
      </c>
    </row>
    <row r="266" spans="1:2">
      <c r="A266">
        <v>265</v>
      </c>
      <c r="B266" s="11">
        <f t="shared" si="4"/>
        <v>4.6251225177849733</v>
      </c>
    </row>
    <row r="267" spans="1:2">
      <c r="A267">
        <v>266</v>
      </c>
      <c r="B267" s="11">
        <f t="shared" si="4"/>
        <v>4.6425758103049164</v>
      </c>
    </row>
    <row r="268" spans="1:2">
      <c r="A268">
        <v>267</v>
      </c>
      <c r="B268" s="11">
        <f t="shared" si="4"/>
        <v>4.6600291028248595</v>
      </c>
    </row>
    <row r="269" spans="1:2">
      <c r="A269">
        <v>268</v>
      </c>
      <c r="B269" s="11">
        <f t="shared" si="4"/>
        <v>4.6774823953448035</v>
      </c>
    </row>
    <row r="270" spans="1:2">
      <c r="A270">
        <v>269</v>
      </c>
      <c r="B270" s="11">
        <f t="shared" si="4"/>
        <v>4.6949356878647466</v>
      </c>
    </row>
    <row r="271" spans="1:2">
      <c r="A271">
        <v>270</v>
      </c>
      <c r="B271" s="11">
        <f t="shared" si="4"/>
        <v>4.7123889803846897</v>
      </c>
    </row>
    <row r="272" spans="1:2">
      <c r="A272">
        <v>271</v>
      </c>
      <c r="B272" s="11">
        <f t="shared" si="4"/>
        <v>4.7298422729046328</v>
      </c>
    </row>
    <row r="273" spans="1:2">
      <c r="A273">
        <v>272</v>
      </c>
      <c r="B273" s="11">
        <f t="shared" si="4"/>
        <v>4.7472955654245768</v>
      </c>
    </row>
    <row r="274" spans="1:2">
      <c r="A274">
        <v>273</v>
      </c>
      <c r="B274" s="11">
        <f t="shared" si="4"/>
        <v>4.7647488579445199</v>
      </c>
    </row>
    <row r="275" spans="1:2">
      <c r="A275">
        <v>274</v>
      </c>
      <c r="B275" s="11">
        <f t="shared" si="4"/>
        <v>4.782202150464463</v>
      </c>
    </row>
    <row r="276" spans="1:2">
      <c r="A276">
        <v>275</v>
      </c>
      <c r="B276" s="11">
        <f t="shared" si="4"/>
        <v>4.7996554429844061</v>
      </c>
    </row>
    <row r="277" spans="1:2">
      <c r="A277">
        <v>276</v>
      </c>
      <c r="B277" s="11">
        <f t="shared" si="4"/>
        <v>4.8171087355043491</v>
      </c>
    </row>
    <row r="278" spans="1:2">
      <c r="A278">
        <v>277</v>
      </c>
      <c r="B278" s="11">
        <f t="shared" si="4"/>
        <v>4.8345620280242931</v>
      </c>
    </row>
    <row r="279" spans="1:2">
      <c r="A279">
        <v>278</v>
      </c>
      <c r="B279" s="11">
        <f t="shared" si="4"/>
        <v>4.8520153205442362</v>
      </c>
    </row>
    <row r="280" spans="1:2">
      <c r="A280">
        <v>279</v>
      </c>
      <c r="B280" s="11">
        <f t="shared" si="4"/>
        <v>4.8694686130641793</v>
      </c>
    </row>
    <row r="281" spans="1:2">
      <c r="A281">
        <v>280</v>
      </c>
      <c r="B281" s="11">
        <f t="shared" si="4"/>
        <v>4.8869219055841224</v>
      </c>
    </row>
    <row r="282" spans="1:2">
      <c r="A282">
        <v>281</v>
      </c>
      <c r="B282" s="11">
        <f t="shared" si="4"/>
        <v>4.9043751981040664</v>
      </c>
    </row>
    <row r="283" spans="1:2">
      <c r="A283">
        <v>282</v>
      </c>
      <c r="B283" s="11">
        <f t="shared" si="4"/>
        <v>4.9218284906240095</v>
      </c>
    </row>
    <row r="284" spans="1:2">
      <c r="A284">
        <v>283</v>
      </c>
      <c r="B284" s="11">
        <f t="shared" si="4"/>
        <v>4.9392817831439526</v>
      </c>
    </row>
    <row r="285" spans="1:2">
      <c r="A285">
        <v>284</v>
      </c>
      <c r="B285" s="11">
        <f t="shared" si="4"/>
        <v>4.9567350756638957</v>
      </c>
    </row>
    <row r="286" spans="1:2">
      <c r="A286">
        <v>285</v>
      </c>
      <c r="B286" s="11">
        <f t="shared" si="4"/>
        <v>4.9741883681838388</v>
      </c>
    </row>
    <row r="287" spans="1:2">
      <c r="A287">
        <v>286</v>
      </c>
      <c r="B287" s="11">
        <f t="shared" si="4"/>
        <v>4.9916416607037828</v>
      </c>
    </row>
    <row r="288" spans="1:2">
      <c r="A288">
        <v>287</v>
      </c>
      <c r="B288" s="11">
        <f t="shared" si="4"/>
        <v>5.0090949532237259</v>
      </c>
    </row>
    <row r="289" spans="1:2">
      <c r="A289">
        <v>288</v>
      </c>
      <c r="B289" s="11">
        <f t="shared" si="4"/>
        <v>5.026548245743669</v>
      </c>
    </row>
    <row r="290" spans="1:2">
      <c r="A290">
        <v>289</v>
      </c>
      <c r="B290" s="11">
        <f t="shared" si="4"/>
        <v>5.0440015382636121</v>
      </c>
    </row>
    <row r="291" spans="1:2">
      <c r="A291">
        <v>290</v>
      </c>
      <c r="B291" s="11">
        <f t="shared" si="4"/>
        <v>5.0614548307835561</v>
      </c>
    </row>
    <row r="292" spans="1:2">
      <c r="A292">
        <v>291</v>
      </c>
      <c r="B292" s="11">
        <f t="shared" si="4"/>
        <v>5.0789081233034992</v>
      </c>
    </row>
    <row r="293" spans="1:2">
      <c r="A293">
        <v>292</v>
      </c>
      <c r="B293" s="11">
        <f t="shared" si="4"/>
        <v>5.0963614158234423</v>
      </c>
    </row>
    <row r="294" spans="1:2">
      <c r="A294">
        <v>293</v>
      </c>
      <c r="B294" s="11">
        <f t="shared" si="4"/>
        <v>5.1138147083433854</v>
      </c>
    </row>
    <row r="295" spans="1:2">
      <c r="A295">
        <v>294</v>
      </c>
      <c r="B295" s="11">
        <f t="shared" si="4"/>
        <v>5.1312680008633285</v>
      </c>
    </row>
    <row r="296" spans="1:2">
      <c r="A296">
        <v>295</v>
      </c>
      <c r="B296" s="11">
        <f t="shared" si="4"/>
        <v>5.1487212933832724</v>
      </c>
    </row>
    <row r="297" spans="1:2">
      <c r="A297">
        <v>296</v>
      </c>
      <c r="B297" s="11">
        <f t="shared" si="4"/>
        <v>5.1661745859032155</v>
      </c>
    </row>
    <row r="298" spans="1:2">
      <c r="A298">
        <v>297</v>
      </c>
      <c r="B298" s="11">
        <f t="shared" si="4"/>
        <v>5.1836278784231586</v>
      </c>
    </row>
    <row r="299" spans="1:2">
      <c r="A299">
        <v>298</v>
      </c>
      <c r="B299" s="11">
        <f t="shared" si="4"/>
        <v>5.2010811709431017</v>
      </c>
    </row>
    <row r="300" spans="1:2">
      <c r="A300">
        <v>299</v>
      </c>
      <c r="B300" s="11">
        <f t="shared" si="4"/>
        <v>5.2185344634630457</v>
      </c>
    </row>
    <row r="301" spans="1:2">
      <c r="A301">
        <v>300</v>
      </c>
      <c r="B301" s="11">
        <f t="shared" si="4"/>
        <v>5.2359877559829888</v>
      </c>
    </row>
    <row r="302" spans="1:2">
      <c r="A302">
        <v>301</v>
      </c>
      <c r="B302" s="11">
        <f t="shared" si="4"/>
        <v>5.2534410485029319</v>
      </c>
    </row>
    <row r="303" spans="1:2">
      <c r="A303">
        <v>302</v>
      </c>
      <c r="B303" s="11">
        <f t="shared" si="4"/>
        <v>5.270894341022875</v>
      </c>
    </row>
    <row r="304" spans="1:2">
      <c r="A304">
        <v>303</v>
      </c>
      <c r="B304" s="11">
        <f t="shared" si="4"/>
        <v>5.2883476335428181</v>
      </c>
    </row>
    <row r="305" spans="1:2">
      <c r="A305">
        <v>304</v>
      </c>
      <c r="B305" s="11">
        <f t="shared" si="4"/>
        <v>5.3058009260627621</v>
      </c>
    </row>
    <row r="306" spans="1:2">
      <c r="A306">
        <v>305</v>
      </c>
      <c r="B306" s="11">
        <f t="shared" si="4"/>
        <v>5.3232542185827052</v>
      </c>
    </row>
    <row r="307" spans="1:2">
      <c r="A307">
        <v>306</v>
      </c>
      <c r="B307" s="11">
        <f t="shared" si="4"/>
        <v>5.3407075111026483</v>
      </c>
    </row>
    <row r="308" spans="1:2">
      <c r="A308">
        <v>307</v>
      </c>
      <c r="B308" s="11">
        <f t="shared" si="4"/>
        <v>5.3581608036225914</v>
      </c>
    </row>
    <row r="309" spans="1:2">
      <c r="A309">
        <v>308</v>
      </c>
      <c r="B309" s="11">
        <f t="shared" si="4"/>
        <v>5.3756140961425354</v>
      </c>
    </row>
    <row r="310" spans="1:2">
      <c r="A310">
        <v>309</v>
      </c>
      <c r="B310" s="11">
        <f t="shared" si="4"/>
        <v>5.3930673886624785</v>
      </c>
    </row>
    <row r="311" spans="1:2">
      <c r="A311">
        <v>310</v>
      </c>
      <c r="B311" s="11">
        <f t="shared" si="4"/>
        <v>5.4105206811824216</v>
      </c>
    </row>
    <row r="312" spans="1:2">
      <c r="A312">
        <v>311</v>
      </c>
      <c r="B312" s="11">
        <f t="shared" si="4"/>
        <v>5.4279739737023647</v>
      </c>
    </row>
    <row r="313" spans="1:2">
      <c r="A313">
        <v>312</v>
      </c>
      <c r="B313" s="11">
        <f t="shared" si="4"/>
        <v>5.4454272662223078</v>
      </c>
    </row>
    <row r="314" spans="1:2">
      <c r="A314">
        <v>313</v>
      </c>
      <c r="B314" s="11">
        <f t="shared" si="4"/>
        <v>5.4628805587422518</v>
      </c>
    </row>
    <row r="315" spans="1:2">
      <c r="A315">
        <v>314</v>
      </c>
      <c r="B315" s="11">
        <f t="shared" si="4"/>
        <v>5.4803338512621949</v>
      </c>
    </row>
    <row r="316" spans="1:2">
      <c r="A316">
        <v>315</v>
      </c>
      <c r="B316" s="11">
        <f t="shared" si="4"/>
        <v>5.497787143782138</v>
      </c>
    </row>
    <row r="317" spans="1:2">
      <c r="A317">
        <v>316</v>
      </c>
      <c r="B317" s="11">
        <f t="shared" si="4"/>
        <v>5.5152404363020811</v>
      </c>
    </row>
    <row r="318" spans="1:2">
      <c r="A318">
        <v>317</v>
      </c>
      <c r="B318" s="11">
        <f t="shared" si="4"/>
        <v>5.532693728822025</v>
      </c>
    </row>
    <row r="319" spans="1:2">
      <c r="A319">
        <v>318</v>
      </c>
      <c r="B319" s="11">
        <f t="shared" si="4"/>
        <v>5.5501470213419681</v>
      </c>
    </row>
    <row r="320" spans="1:2">
      <c r="A320">
        <v>319</v>
      </c>
      <c r="B320" s="11">
        <f t="shared" si="4"/>
        <v>5.5676003138619112</v>
      </c>
    </row>
    <row r="321" spans="1:2">
      <c r="A321">
        <v>320</v>
      </c>
      <c r="B321" s="11">
        <f t="shared" si="4"/>
        <v>5.5850536063818543</v>
      </c>
    </row>
    <row r="322" spans="1:2">
      <c r="A322">
        <v>321</v>
      </c>
      <c r="B322" s="11">
        <f t="shared" ref="B322:B361" si="5">RADIANS(A322)</f>
        <v>5.6025068989017974</v>
      </c>
    </row>
    <row r="323" spans="1:2">
      <c r="A323">
        <v>322</v>
      </c>
      <c r="B323" s="11">
        <f t="shared" si="5"/>
        <v>5.6199601914217414</v>
      </c>
    </row>
    <row r="324" spans="1:2">
      <c r="A324">
        <v>323</v>
      </c>
      <c r="B324" s="11">
        <f t="shared" si="5"/>
        <v>5.6374134839416845</v>
      </c>
    </row>
    <row r="325" spans="1:2">
      <c r="A325">
        <v>324</v>
      </c>
      <c r="B325" s="11">
        <f t="shared" si="5"/>
        <v>5.6548667764616276</v>
      </c>
    </row>
    <row r="326" spans="1:2">
      <c r="A326">
        <v>325</v>
      </c>
      <c r="B326" s="11">
        <f t="shared" si="5"/>
        <v>5.6723200689815707</v>
      </c>
    </row>
    <row r="327" spans="1:2">
      <c r="A327">
        <v>326</v>
      </c>
      <c r="B327" s="11">
        <f t="shared" si="5"/>
        <v>5.6897733615015147</v>
      </c>
    </row>
    <row r="328" spans="1:2">
      <c r="A328">
        <v>327</v>
      </c>
      <c r="B328" s="11">
        <f t="shared" si="5"/>
        <v>5.7072266540214578</v>
      </c>
    </row>
    <row r="329" spans="1:2">
      <c r="A329">
        <v>328</v>
      </c>
      <c r="B329" s="11">
        <f t="shared" si="5"/>
        <v>5.7246799465414009</v>
      </c>
    </row>
    <row r="330" spans="1:2">
      <c r="A330">
        <v>329</v>
      </c>
      <c r="B330" s="11">
        <f t="shared" si="5"/>
        <v>5.742133239061344</v>
      </c>
    </row>
    <row r="331" spans="1:2">
      <c r="A331">
        <v>330</v>
      </c>
      <c r="B331" s="11">
        <f t="shared" si="5"/>
        <v>5.7595865315812871</v>
      </c>
    </row>
    <row r="332" spans="1:2">
      <c r="A332">
        <v>331</v>
      </c>
      <c r="B332" s="11">
        <f t="shared" si="5"/>
        <v>5.7770398241012311</v>
      </c>
    </row>
    <row r="333" spans="1:2">
      <c r="A333">
        <v>332</v>
      </c>
      <c r="B333" s="11">
        <f t="shared" si="5"/>
        <v>5.7944931166211742</v>
      </c>
    </row>
    <row r="334" spans="1:2">
      <c r="A334">
        <v>333</v>
      </c>
      <c r="B334" s="11">
        <f t="shared" si="5"/>
        <v>5.8119464091411173</v>
      </c>
    </row>
    <row r="335" spans="1:2">
      <c r="A335">
        <v>334</v>
      </c>
      <c r="B335" s="11">
        <f t="shared" si="5"/>
        <v>5.8293997016610604</v>
      </c>
    </row>
    <row r="336" spans="1:2">
      <c r="A336">
        <v>335</v>
      </c>
      <c r="B336" s="11">
        <f t="shared" si="5"/>
        <v>5.8468529941810043</v>
      </c>
    </row>
    <row r="337" spans="1:2">
      <c r="A337">
        <v>336</v>
      </c>
      <c r="B337" s="11">
        <f t="shared" si="5"/>
        <v>5.8643062867009474</v>
      </c>
    </row>
    <row r="338" spans="1:2">
      <c r="A338">
        <v>337</v>
      </c>
      <c r="B338" s="11">
        <f t="shared" si="5"/>
        <v>5.8817595792208905</v>
      </c>
    </row>
    <row r="339" spans="1:2">
      <c r="A339">
        <v>338</v>
      </c>
      <c r="B339" s="11">
        <f t="shared" si="5"/>
        <v>5.8992128717408336</v>
      </c>
    </row>
    <row r="340" spans="1:2">
      <c r="A340">
        <v>339</v>
      </c>
      <c r="B340" s="11">
        <f t="shared" si="5"/>
        <v>5.9166661642607767</v>
      </c>
    </row>
    <row r="341" spans="1:2">
      <c r="A341">
        <v>340</v>
      </c>
      <c r="B341" s="11">
        <f t="shared" si="5"/>
        <v>5.9341194567807207</v>
      </c>
    </row>
    <row r="342" spans="1:2">
      <c r="A342">
        <v>341</v>
      </c>
      <c r="B342" s="11">
        <f t="shared" si="5"/>
        <v>5.9515727493006638</v>
      </c>
    </row>
    <row r="343" spans="1:2">
      <c r="A343">
        <v>342</v>
      </c>
      <c r="B343" s="11">
        <f t="shared" si="5"/>
        <v>5.9690260418206069</v>
      </c>
    </row>
    <row r="344" spans="1:2">
      <c r="A344">
        <v>343</v>
      </c>
      <c r="B344" s="11">
        <f t="shared" si="5"/>
        <v>5.98647933434055</v>
      </c>
    </row>
    <row r="345" spans="1:2">
      <c r="A345">
        <v>344</v>
      </c>
      <c r="B345" s="11">
        <f t="shared" si="5"/>
        <v>6.003932626860494</v>
      </c>
    </row>
    <row r="346" spans="1:2">
      <c r="A346">
        <v>345</v>
      </c>
      <c r="B346" s="11">
        <f t="shared" si="5"/>
        <v>6.0213859193804371</v>
      </c>
    </row>
    <row r="347" spans="1:2">
      <c r="A347">
        <v>346</v>
      </c>
      <c r="B347" s="11">
        <f t="shared" si="5"/>
        <v>6.0388392119003802</v>
      </c>
    </row>
    <row r="348" spans="1:2">
      <c r="A348">
        <v>347</v>
      </c>
      <c r="B348" s="11">
        <f t="shared" si="5"/>
        <v>6.0562925044203233</v>
      </c>
    </row>
    <row r="349" spans="1:2">
      <c r="A349">
        <v>348</v>
      </c>
      <c r="B349" s="11">
        <f t="shared" si="5"/>
        <v>6.0737457969402664</v>
      </c>
    </row>
    <row r="350" spans="1:2">
      <c r="A350">
        <v>349</v>
      </c>
      <c r="B350" s="11">
        <f t="shared" si="5"/>
        <v>6.0911990894602104</v>
      </c>
    </row>
    <row r="351" spans="1:2">
      <c r="A351">
        <v>350</v>
      </c>
      <c r="B351" s="11">
        <f t="shared" si="5"/>
        <v>6.1086523819801535</v>
      </c>
    </row>
    <row r="352" spans="1:2">
      <c r="A352">
        <v>351</v>
      </c>
      <c r="B352" s="11">
        <f t="shared" si="5"/>
        <v>6.1261056745000966</v>
      </c>
    </row>
    <row r="353" spans="1:2">
      <c r="A353">
        <v>352</v>
      </c>
      <c r="B353" s="11">
        <f t="shared" si="5"/>
        <v>6.1435589670200397</v>
      </c>
    </row>
    <row r="354" spans="1:2">
      <c r="A354">
        <v>353</v>
      </c>
      <c r="B354" s="11">
        <f t="shared" si="5"/>
        <v>6.1610122595399837</v>
      </c>
    </row>
    <row r="355" spans="1:2">
      <c r="A355">
        <v>354</v>
      </c>
      <c r="B355" s="11">
        <f t="shared" si="5"/>
        <v>6.1784655520599268</v>
      </c>
    </row>
    <row r="356" spans="1:2">
      <c r="A356">
        <v>355</v>
      </c>
      <c r="B356" s="11">
        <f t="shared" si="5"/>
        <v>6.1959188445798699</v>
      </c>
    </row>
    <row r="357" spans="1:2">
      <c r="A357">
        <v>356</v>
      </c>
      <c r="B357" s="11">
        <f t="shared" si="5"/>
        <v>6.213372137099813</v>
      </c>
    </row>
    <row r="358" spans="1:2">
      <c r="A358">
        <v>357</v>
      </c>
      <c r="B358" s="11">
        <f t="shared" si="5"/>
        <v>6.2308254296197561</v>
      </c>
    </row>
    <row r="359" spans="1:2">
      <c r="A359">
        <v>358</v>
      </c>
      <c r="B359" s="11">
        <f t="shared" si="5"/>
        <v>6.2482787221397</v>
      </c>
    </row>
    <row r="360" spans="1:2">
      <c r="A360">
        <v>359</v>
      </c>
      <c r="B360" s="11">
        <f t="shared" si="5"/>
        <v>6.2657320146596431</v>
      </c>
    </row>
    <row r="361" spans="1:2">
      <c r="A361">
        <v>360</v>
      </c>
      <c r="B361" s="11">
        <f t="shared" si="5"/>
        <v>6.2831853071795862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5FEC-1D4E-4D14-B535-53766E637A42}">
  <dimension ref="A1:J362"/>
  <sheetViews>
    <sheetView workbookViewId="0">
      <selection activeCell="J2" sqref="J2"/>
    </sheetView>
  </sheetViews>
  <sheetFormatPr defaultRowHeight="17.399999999999999"/>
  <sheetData>
    <row r="1" spans="1:10">
      <c r="A1" t="s">
        <v>1</v>
      </c>
      <c r="B1">
        <v>10</v>
      </c>
      <c r="C1" t="s">
        <v>10</v>
      </c>
      <c r="D1" t="s">
        <v>15</v>
      </c>
      <c r="E1" t="s">
        <v>11</v>
      </c>
      <c r="F1" t="s">
        <v>12</v>
      </c>
      <c r="G1" t="s">
        <v>13</v>
      </c>
      <c r="H1" t="s">
        <v>14</v>
      </c>
    </row>
    <row r="2" spans="1:10">
      <c r="A2" t="s">
        <v>0</v>
      </c>
      <c r="B2">
        <v>2</v>
      </c>
      <c r="C2">
        <v>0</v>
      </c>
      <c r="D2" s="1">
        <f>RADIANS(C2)</f>
        <v>0</v>
      </c>
      <c r="E2" s="1">
        <f>($B$1+$B$2)*COS(D2) - $B$3*COS((($B$1+$B$2)/$B$2)*D2)</f>
        <v>10</v>
      </c>
      <c r="F2" s="2">
        <f>($B$1+$B$2)*SIN(D2) - $B$3*SIN((($B$1+$B$2)/$B$2)*D2)</f>
        <v>0</v>
      </c>
      <c r="G2" s="1">
        <f>($B$1-$B$2)*COS(D2) + $B$3*COS((($B$1-$B$2)/$B$2)*D2)</f>
        <v>10</v>
      </c>
      <c r="H2" s="1">
        <f>($B$1-$B$2)*SIN(D2) - $B$3*SIN((($B$1-$B$2)/$B$2)*D2)</f>
        <v>0</v>
      </c>
      <c r="I2" s="1">
        <f>$B$1*COS(D2)</f>
        <v>10</v>
      </c>
      <c r="J2" s="1">
        <f>$B$1*SIN(D2)</f>
        <v>0</v>
      </c>
    </row>
    <row r="3" spans="1:10">
      <c r="A3" t="s">
        <v>9</v>
      </c>
      <c r="B3">
        <v>2</v>
      </c>
      <c r="C3">
        <v>1</v>
      </c>
      <c r="D3" s="1">
        <f t="shared" ref="D3:D66" si="0">RADIANS(C3)</f>
        <v>1.7453292519943295E-2</v>
      </c>
      <c r="E3" s="1">
        <f t="shared" ref="E3:E66" si="1">($B$1+$B$2)*COS(D3) - $B$3*COS((($B$1+$B$2)/$B$2)*D3)</f>
        <v>10.009128551140149</v>
      </c>
      <c r="F3" s="2">
        <f t="shared" ref="F3:F66" si="2">($B$1+$B$2)*SIN(D3) - $B$3*SIN((($B$1+$B$2)/$B$2)*D3)</f>
        <v>3.7195071209519814E-4</v>
      </c>
      <c r="G3" s="1">
        <f t="shared" ref="G3:G66" si="3">($B$1-$B$2)*COS(D3) + $B$3*COS((($B$1-$B$2)/$B$2)*D3)</f>
        <v>9.993909661770779</v>
      </c>
      <c r="H3" s="1">
        <f t="shared" ref="H3:H66" si="4">($B$1-$B$2)*SIN(D3) - $B$3*SIN((($B$1-$B$2)/$B$2)*D3)</f>
        <v>1.0630401001748835E-4</v>
      </c>
      <c r="I3" s="1">
        <f t="shared" ref="I3:I66" si="5">$B$1*COS(D3)</f>
        <v>9.9984769515639123</v>
      </c>
      <c r="J3" s="1">
        <f t="shared" ref="J3:J66" si="6">$B$1*SIN(D3)</f>
        <v>0.17452406437283513</v>
      </c>
    </row>
    <row r="4" spans="1:10">
      <c r="C4">
        <v>2</v>
      </c>
      <c r="D4" s="1">
        <f t="shared" si="0"/>
        <v>3.4906585039886591E-2</v>
      </c>
      <c r="E4" s="1">
        <f t="shared" si="1"/>
        <v>10.036394722761537</v>
      </c>
      <c r="F4" s="2">
        <f t="shared" si="2"/>
        <v>2.9705787944929174E-3</v>
      </c>
      <c r="G4" s="1">
        <f t="shared" si="3"/>
        <v>9.9756627536359073</v>
      </c>
      <c r="H4" s="1">
        <f t="shared" si="4"/>
        <v>8.4977169987687784E-4</v>
      </c>
      <c r="I4" s="1">
        <f t="shared" si="5"/>
        <v>9.993908270190957</v>
      </c>
      <c r="J4" s="1">
        <f t="shared" si="6"/>
        <v>0.34899496702500971</v>
      </c>
    </row>
    <row r="5" spans="1:10">
      <c r="C5">
        <v>3</v>
      </c>
      <c r="D5" s="1">
        <f t="shared" si="0"/>
        <v>5.235987755982989E-2</v>
      </c>
      <c r="E5" s="1">
        <f t="shared" si="1"/>
        <v>10.081441384464579</v>
      </c>
      <c r="F5" s="2">
        <f t="shared" si="2"/>
        <v>9.9974861654311686E-3</v>
      </c>
      <c r="G5" s="1">
        <f t="shared" si="3"/>
        <v>9.9453314795042012</v>
      </c>
      <c r="H5" s="1">
        <f t="shared" si="4"/>
        <v>2.8642683080319919E-3</v>
      </c>
      <c r="I5" s="1">
        <f t="shared" si="5"/>
        <v>9.9862953475457381</v>
      </c>
      <c r="J5" s="1">
        <f t="shared" si="6"/>
        <v>0.52335956242943837</v>
      </c>
    </row>
    <row r="6" spans="1:10">
      <c r="C6">
        <v>4</v>
      </c>
      <c r="D6" s="1">
        <f t="shared" si="0"/>
        <v>6.9813170079773182E-2</v>
      </c>
      <c r="E6" s="1">
        <f t="shared" si="1"/>
        <v>10.143677687832687</v>
      </c>
      <c r="F6" s="2">
        <f t="shared" si="2"/>
        <v>2.3604398777903213E-2</v>
      </c>
      <c r="G6" s="1">
        <f t="shared" si="3"/>
        <v>9.9030357939552314</v>
      </c>
      <c r="H6" s="1">
        <f t="shared" si="4"/>
        <v>6.7770783190040929E-3</v>
      </c>
      <c r="I6" s="1">
        <f t="shared" si="5"/>
        <v>9.9756405025982424</v>
      </c>
      <c r="J6" s="1">
        <f t="shared" si="6"/>
        <v>0.69756473744125302</v>
      </c>
    </row>
    <row r="7" spans="1:10">
      <c r="C7">
        <v>5</v>
      </c>
      <c r="D7" s="1">
        <f t="shared" si="0"/>
        <v>8.7266462599716474E-2</v>
      </c>
      <c r="E7" s="1">
        <f t="shared" si="1"/>
        <v>10.222285569532071</v>
      </c>
      <c r="F7" s="2">
        <f t="shared" si="2"/>
        <v>4.5868912971898212E-2</v>
      </c>
      <c r="G7" s="1">
        <f t="shared" si="3"/>
        <v>9.8489428263057803</v>
      </c>
      <c r="H7" s="1">
        <f t="shared" si="4"/>
        <v>1.3205655329927901E-2</v>
      </c>
      <c r="I7" s="1">
        <f t="shared" si="5"/>
        <v>9.961946980917455</v>
      </c>
      <c r="J7" s="1">
        <f t="shared" si="6"/>
        <v>0.8715574274765816</v>
      </c>
    </row>
    <row r="8" spans="1:10">
      <c r="C8">
        <v>6</v>
      </c>
      <c r="D8" s="1">
        <f t="shared" si="0"/>
        <v>0.10471975511965978</v>
      </c>
      <c r="E8" s="1">
        <f t="shared" si="1"/>
        <v>10.316228755669384</v>
      </c>
      <c r="F8" s="2">
        <f t="shared" si="2"/>
        <v>7.8771054626895376E-2</v>
      </c>
      <c r="G8" s="1">
        <f t="shared" si="3"/>
        <v>9.7832660782313887</v>
      </c>
      <c r="H8" s="1">
        <f t="shared" si="4"/>
        <v>2.275441998962735E-2</v>
      </c>
      <c r="I8" s="1">
        <f t="shared" si="5"/>
        <v>9.9452189536827333</v>
      </c>
      <c r="J8" s="1">
        <f t="shared" si="6"/>
        <v>1.0452846326765348</v>
      </c>
    </row>
    <row r="9" spans="1:10">
      <c r="C9">
        <v>7</v>
      </c>
      <c r="D9" s="1">
        <f t="shared" si="0"/>
        <v>0.12217304763960307</v>
      </c>
      <c r="E9" s="1">
        <f t="shared" si="1"/>
        <v>10.424264168741075</v>
      </c>
      <c r="F9" s="2">
        <f t="shared" si="2"/>
        <v>0.12417090814405318</v>
      </c>
      <c r="G9" s="1">
        <f t="shared" si="3"/>
        <v>9.706264398848429</v>
      </c>
      <c r="H9" s="1">
        <f t="shared" si="4"/>
        <v>3.6011621669398197E-2</v>
      </c>
      <c r="I9" s="1">
        <f t="shared" si="5"/>
        <v>9.9254615164132201</v>
      </c>
      <c r="J9" s="1">
        <f t="shared" si="6"/>
        <v>1.2186934340514748</v>
      </c>
    </row>
    <row r="10" spans="1:10">
      <c r="C10">
        <v>8</v>
      </c>
      <c r="D10" s="1">
        <f t="shared" si="0"/>
        <v>0.13962634015954636</v>
      </c>
      <c r="E10" s="1">
        <f t="shared" si="1"/>
        <v>10.544955612181129</v>
      </c>
      <c r="F10" s="2">
        <f t="shared" si="2"/>
        <v>0.18378756056599688</v>
      </c>
      <c r="G10" s="1">
        <f t="shared" si="3"/>
        <v>9.6182407422454155</v>
      </c>
      <c r="H10" s="1">
        <f t="shared" si="4"/>
        <v>5.3546279214113701E-2</v>
      </c>
      <c r="I10" s="1">
        <f t="shared" si="5"/>
        <v>9.9026806874157032</v>
      </c>
      <c r="J10" s="1">
        <f t="shared" si="6"/>
        <v>1.3917310096006543</v>
      </c>
    </row>
    <row r="11" spans="1:10">
      <c r="C11">
        <v>9</v>
      </c>
      <c r="D11" s="1">
        <f t="shared" si="0"/>
        <v>0.15707963267948966</v>
      </c>
      <c r="E11" s="1">
        <f t="shared" si="1"/>
        <v>10.676689582556707</v>
      </c>
      <c r="F11" s="2">
        <f t="shared" si="2"/>
        <v>0.25917959173287564</v>
      </c>
      <c r="G11" s="1">
        <f t="shared" si="3"/>
        <v>9.5195407135109971</v>
      </c>
      <c r="H11" s="1">
        <f t="shared" si="4"/>
        <v>7.5905215736900677E-2</v>
      </c>
      <c r="I11" s="1">
        <f t="shared" si="5"/>
        <v>9.8768834059513786</v>
      </c>
      <c r="J11" s="1">
        <f t="shared" si="6"/>
        <v>1.5643446504023086</v>
      </c>
    </row>
    <row r="12" spans="1:10">
      <c r="C12">
        <v>10</v>
      </c>
      <c r="D12" s="1">
        <f t="shared" si="0"/>
        <v>0.17453292519943295</v>
      </c>
      <c r="E12" s="1">
        <f t="shared" si="1"/>
        <v>10.817693036146496</v>
      </c>
      <c r="F12" s="2">
        <f t="shared" si="2"/>
        <v>0.35172732443428689</v>
      </c>
      <c r="G12" s="1">
        <f t="shared" si="3"/>
        <v>9.4105509103356209</v>
      </c>
      <c r="H12" s="1">
        <f t="shared" si="4"/>
        <v>0.10361020196236415</v>
      </c>
      <c r="I12" s="1">
        <f t="shared" si="5"/>
        <v>9.8480775301220795</v>
      </c>
      <c r="J12" s="1">
        <f t="shared" si="6"/>
        <v>1.7364817766693033</v>
      </c>
    </row>
    <row r="13" spans="1:10">
      <c r="C13">
        <v>11</v>
      </c>
      <c r="D13" s="1">
        <f t="shared" si="0"/>
        <v>0.19198621771937624</v>
      </c>
      <c r="E13" s="1">
        <f t="shared" si="1"/>
        <v>10.966052915220368</v>
      </c>
      <c r="F13" s="2">
        <f t="shared" si="2"/>
        <v>0.46261702923333581</v>
      </c>
      <c r="G13" s="1">
        <f t="shared" si="3"/>
        <v>9.291697068258614</v>
      </c>
      <c r="H13" s="1">
        <f t="shared" si="4"/>
        <v>0.13715522209436393</v>
      </c>
      <c r="I13" s="1">
        <f t="shared" si="5"/>
        <v>9.8162718344766393</v>
      </c>
      <c r="J13" s="1">
        <f t="shared" si="6"/>
        <v>1.9080899537654481</v>
      </c>
    </row>
    <row r="14" spans="1:10">
      <c r="C14">
        <v>12</v>
      </c>
      <c r="D14" s="1">
        <f t="shared" si="0"/>
        <v>0.20943951023931956</v>
      </c>
      <c r="E14" s="1">
        <f t="shared" si="1"/>
        <v>11.119737220055773</v>
      </c>
      <c r="F14" s="2">
        <f t="shared" si="2"/>
        <v>0.59282725722280483</v>
      </c>
      <c r="G14" s="1">
        <f t="shared" si="3"/>
        <v>9.163442018588162</v>
      </c>
      <c r="H14" s="1">
        <f t="shared" si="4"/>
        <v>0.17700387558728625</v>
      </c>
      <c r="I14" s="1">
        <f t="shared" si="5"/>
        <v>9.7814760073380569</v>
      </c>
      <c r="J14" s="1">
        <f t="shared" si="6"/>
        <v>2.0791169081775935</v>
      </c>
    </row>
    <row r="15" spans="1:10">
      <c r="C15">
        <v>13</v>
      </c>
      <c r="D15" s="1">
        <f t="shared" si="0"/>
        <v>0.22689280275926285</v>
      </c>
      <c r="E15" s="1">
        <f t="shared" si="1"/>
        <v>11.276617395787303</v>
      </c>
      <c r="F15" s="2">
        <f t="shared" si="2"/>
        <v>0.74311745065876877</v>
      </c>
      <c r="G15" s="1">
        <f t="shared" si="3"/>
        <v>9.0262834689331992</v>
      </c>
      <c r="H15" s="1">
        <f t="shared" si="4"/>
        <v>0.223586927537476</v>
      </c>
      <c r="I15" s="1">
        <f t="shared" si="5"/>
        <v>9.7437006478523518</v>
      </c>
      <c r="J15" s="1">
        <f t="shared" si="6"/>
        <v>2.24951054343865</v>
      </c>
    </row>
    <row r="16" spans="1:10">
      <c r="C16">
        <v>14</v>
      </c>
      <c r="D16" s="1">
        <f t="shared" si="0"/>
        <v>0.24434609527920614</v>
      </c>
      <c r="E16" s="1">
        <f t="shared" si="1"/>
        <v>11.434491788776651</v>
      </c>
      <c r="F16" s="2">
        <f t="shared" si="2"/>
        <v>0.91401895645946629</v>
      </c>
      <c r="G16" s="1">
        <f t="shared" si="3"/>
        <v>8.8807516171494658</v>
      </c>
      <c r="H16" s="1">
        <f t="shared" si="4"/>
        <v>0.27730001968725837</v>
      </c>
      <c r="I16" s="1">
        <f t="shared" si="5"/>
        <v>9.7029572627599645</v>
      </c>
      <c r="J16" s="1">
        <f t="shared" si="6"/>
        <v>2.4192189559966772</v>
      </c>
    </row>
    <row r="17" spans="3:10">
      <c r="C17">
        <v>15</v>
      </c>
      <c r="D17" s="1">
        <f t="shared" si="0"/>
        <v>0.26179938779914941</v>
      </c>
      <c r="E17" s="1">
        <f t="shared" si="1"/>
        <v>11.59110991546882</v>
      </c>
      <c r="F17" s="2">
        <f t="shared" si="2"/>
        <v>1.1058285412302489</v>
      </c>
      <c r="G17" s="1">
        <f t="shared" si="3"/>
        <v>8.7274066103125474</v>
      </c>
      <c r="H17" s="1">
        <f t="shared" si="4"/>
        <v>0.33850155325128872</v>
      </c>
      <c r="I17" s="1">
        <f t="shared" si="5"/>
        <v>9.6592582628906829</v>
      </c>
      <c r="J17" s="1">
        <f t="shared" si="6"/>
        <v>2.5881904510252074</v>
      </c>
    </row>
    <row r="18" spans="3:10">
      <c r="C18">
        <v>16</v>
      </c>
      <c r="D18" s="1">
        <f t="shared" si="0"/>
        <v>0.27925268031909273</v>
      </c>
      <c r="E18" s="1">
        <f t="shared" si="1"/>
        <v>11.744197277795134</v>
      </c>
      <c r="F18" s="2">
        <f t="shared" si="2"/>
        <v>1.3186044790674436</v>
      </c>
      <c r="G18" s="1">
        <f t="shared" si="3"/>
        <v>8.5668358610847068</v>
      </c>
      <c r="H18" s="1">
        <f t="shared" si="4"/>
        <v>0.40751075393765923</v>
      </c>
      <c r="I18" s="1">
        <f t="shared" si="5"/>
        <v>9.6126169593831889</v>
      </c>
      <c r="J18" s="1">
        <f t="shared" si="6"/>
        <v>2.7563735581699915</v>
      </c>
    </row>
    <row r="19" spans="3:10">
      <c r="C19">
        <v>17</v>
      </c>
      <c r="D19" s="1">
        <f t="shared" si="0"/>
        <v>0.29670597283903605</v>
      </c>
      <c r="E19" s="1">
        <f t="shared" si="1"/>
        <v>11.891480453191944</v>
      </c>
      <c r="F19" s="2">
        <f t="shared" si="2"/>
        <v>1.5521652552052301</v>
      </c>
      <c r="G19" s="1">
        <f t="shared" si="3"/>
        <v>8.3996512345361083</v>
      </c>
      <c r="H19" s="1">
        <f t="shared" si="4"/>
        <v>0.48460592864831931</v>
      </c>
      <c r="I19" s="1">
        <f t="shared" si="5"/>
        <v>9.5630475596303537</v>
      </c>
      <c r="J19" s="1">
        <f t="shared" si="6"/>
        <v>2.9237170472273677</v>
      </c>
    </row>
    <row r="20" spans="3:10">
      <c r="C20">
        <v>18</v>
      </c>
      <c r="D20" s="1">
        <f t="shared" si="0"/>
        <v>0.31415926535897931</v>
      </c>
      <c r="E20" s="1">
        <f t="shared" si="1"/>
        <v>12.030712184291737</v>
      </c>
      <c r="F20" s="2">
        <f t="shared" si="2"/>
        <v>1.8060908999090612</v>
      </c>
      <c r="G20" s="1">
        <f t="shared" si="3"/>
        <v>8.2264861191111223</v>
      </c>
      <c r="H20" s="1">
        <f t="shared" si="4"/>
        <v>0.5700229224092721</v>
      </c>
      <c r="I20" s="1">
        <f t="shared" si="5"/>
        <v>9.5105651629515346</v>
      </c>
      <c r="J20" s="1">
        <f t="shared" si="6"/>
        <v>3.0901699437494741</v>
      </c>
    </row>
    <row r="21" spans="3:10">
      <c r="C21">
        <v>19</v>
      </c>
      <c r="D21" s="1">
        <f t="shared" si="0"/>
        <v>0.33161255787892263</v>
      </c>
      <c r="E21" s="1">
        <f t="shared" si="1"/>
        <v>12.159696193343402</v>
      </c>
      <c r="F21" s="2">
        <f t="shared" si="2"/>
        <v>2.0797269382006789</v>
      </c>
      <c r="G21" s="1">
        <f t="shared" si="3"/>
        <v>8.0479923959938695</v>
      </c>
      <c r="H21" s="1">
        <f t="shared" si="4"/>
        <v>0.66395378310526065</v>
      </c>
      <c r="I21" s="1">
        <f t="shared" si="5"/>
        <v>9.4551857559931687</v>
      </c>
      <c r="J21" s="1">
        <f t="shared" si="6"/>
        <v>3.255681544571567</v>
      </c>
    </row>
    <row r="22" spans="3:10">
      <c r="C22">
        <v>20</v>
      </c>
      <c r="D22" s="1">
        <f t="shared" si="0"/>
        <v>0.3490658503988659</v>
      </c>
      <c r="E22" s="1">
        <f t="shared" si="1"/>
        <v>12.276311449430901</v>
      </c>
      <c r="F22" s="2">
        <f t="shared" si="2"/>
        <v>2.3721909123391471</v>
      </c>
      <c r="G22" s="1">
        <f t="shared" si="3"/>
        <v>7.8648373216211285</v>
      </c>
      <c r="H22" s="1">
        <f t="shared" si="4"/>
        <v>0.76654564058093366</v>
      </c>
      <c r="I22" s="1">
        <f t="shared" si="5"/>
        <v>9.3969262078590852</v>
      </c>
      <c r="J22" s="1">
        <f t="shared" si="6"/>
        <v>3.420201433256687</v>
      </c>
    </row>
    <row r="23" spans="3:10">
      <c r="C23">
        <v>21</v>
      </c>
      <c r="D23" s="1">
        <f t="shared" si="0"/>
        <v>0.36651914291880922</v>
      </c>
      <c r="E23" s="1">
        <f t="shared" si="1"/>
        <v>12.378535622551368</v>
      </c>
      <c r="F23" s="2">
        <f t="shared" si="2"/>
        <v>2.6823814057937083</v>
      </c>
      <c r="G23" s="1">
        <f t="shared" si="3"/>
        <v>7.6777003385129206</v>
      </c>
      <c r="H23" s="1">
        <f t="shared" si="4"/>
        <v>0.87789980562585557</v>
      </c>
      <c r="I23" s="1">
        <f t="shared" si="5"/>
        <v>9.3358042649720172</v>
      </c>
      <c r="J23" s="1">
        <f t="shared" si="6"/>
        <v>3.5836794954530027</v>
      </c>
    </row>
    <row r="24" spans="3:10">
      <c r="C24">
        <v>22</v>
      </c>
      <c r="D24" s="1">
        <f t="shared" si="0"/>
        <v>0.38397243543875248</v>
      </c>
      <c r="E24" s="1">
        <f t="shared" si="1"/>
        <v>12.464467467519166</v>
      </c>
      <c r="F24" s="2">
        <f t="shared" si="2"/>
        <v>3.0089894700361555</v>
      </c>
      <c r="G24" s="1">
        <f t="shared" si="3"/>
        <v>7.4872698299393017</v>
      </c>
      <c r="H24" s="1">
        <f t="shared" si="4"/>
        <v>0.99807109328910459</v>
      </c>
      <c r="I24" s="1">
        <f t="shared" si="5"/>
        <v>9.2718385456678742</v>
      </c>
      <c r="J24" s="1">
        <f t="shared" si="6"/>
        <v>3.74606593415912</v>
      </c>
    </row>
    <row r="25" spans="3:10">
      <c r="C25">
        <v>23</v>
      </c>
      <c r="D25" s="1">
        <f t="shared" si="0"/>
        <v>0.4014257279586958</v>
      </c>
      <c r="E25" s="1">
        <f t="shared" si="1"/>
        <v>12.532347892384072</v>
      </c>
      <c r="F25" s="2">
        <f t="shared" si="2"/>
        <v>3.350512329153569</v>
      </c>
      <c r="G25" s="1">
        <f t="shared" si="3"/>
        <v>7.2942398342145207</v>
      </c>
      <c r="H25" s="1">
        <f t="shared" si="4"/>
        <v>1.1270673738759986</v>
      </c>
      <c r="I25" s="1">
        <f t="shared" si="5"/>
        <v>9.2050485345244031</v>
      </c>
      <c r="J25" s="1">
        <f t="shared" si="6"/>
        <v>3.9073112848927378</v>
      </c>
    </row>
    <row r="26" spans="3:10">
      <c r="C26">
        <v>24</v>
      </c>
      <c r="D26" s="1">
        <f t="shared" si="0"/>
        <v>0.41887902047863912</v>
      </c>
      <c r="E26" s="1">
        <f t="shared" si="1"/>
        <v>12.580579480461106</v>
      </c>
      <c r="F26" s="2">
        <f t="shared" si="2"/>
        <v>3.705269212324656</v>
      </c>
      <c r="G26" s="1">
        <f t="shared" si="3"/>
        <v>7.0993067346054994</v>
      </c>
      <c r="H26" s="1">
        <f t="shared" si="4"/>
        <v>1.2648493538698551</v>
      </c>
      <c r="I26" s="1">
        <f t="shared" si="5"/>
        <v>9.1354545764260084</v>
      </c>
      <c r="J26" s="1">
        <f t="shared" si="6"/>
        <v>4.0673664307580024</v>
      </c>
    </row>
    <row r="27" spans="3:10">
      <c r="C27">
        <v>25</v>
      </c>
      <c r="D27" s="1">
        <f t="shared" si="0"/>
        <v>0.43633231299858238</v>
      </c>
      <c r="E27" s="1">
        <f t="shared" si="1"/>
        <v>12.607744252008676</v>
      </c>
      <c r="F27" s="2">
        <f t="shared" si="2"/>
        <v>4.0714191408883931</v>
      </c>
      <c r="G27" s="1">
        <f t="shared" si="3"/>
        <v>6.9031659409593384</v>
      </c>
      <c r="H27" s="1">
        <f t="shared" si="4"/>
        <v>1.4113305879011795</v>
      </c>
      <c r="I27" s="1">
        <f t="shared" si="5"/>
        <v>9.0630778703664987</v>
      </c>
      <c r="J27" s="1">
        <f t="shared" si="6"/>
        <v>4.2261826174069945</v>
      </c>
    </row>
    <row r="28" spans="3:10">
      <c r="C28">
        <v>26</v>
      </c>
      <c r="D28" s="1">
        <f t="shared" si="0"/>
        <v>0.4537856055185257</v>
      </c>
      <c r="E28" s="1">
        <f t="shared" si="1"/>
        <v>12.612619470875208</v>
      </c>
      <c r="F28" s="2">
        <f t="shared" si="2"/>
        <v>4.4469804753173285</v>
      </c>
      <c r="G28" s="1">
        <f t="shared" si="3"/>
        <v>6.7065085791940007</v>
      </c>
      <c r="H28" s="1">
        <f t="shared" si="4"/>
        <v>1.5663777217606263</v>
      </c>
      <c r="I28" s="1">
        <f t="shared" si="5"/>
        <v>8.9879404629916699</v>
      </c>
      <c r="J28" s="1">
        <f t="shared" si="6"/>
        <v>4.383711467890774</v>
      </c>
    </row>
    <row r="29" spans="3:10">
      <c r="C29">
        <v>27</v>
      </c>
      <c r="D29" s="1">
        <f t="shared" si="0"/>
        <v>0.47123889803846897</v>
      </c>
      <c r="E29" s="1">
        <f t="shared" si="1"/>
        <v>12.594191322850723</v>
      </c>
      <c r="F29" s="2">
        <f t="shared" si="2"/>
        <v>4.8298520081246661</v>
      </c>
      <c r="G29" s="1">
        <f t="shared" si="3"/>
        <v>6.5100182047570483</v>
      </c>
      <c r="H29" s="1">
        <f t="shared" si="4"/>
        <v>1.7298109653260667</v>
      </c>
      <c r="I29" s="1">
        <f t="shared" si="5"/>
        <v>8.9100652418836788</v>
      </c>
      <c r="J29" s="1">
        <f t="shared" si="6"/>
        <v>4.5399049973954675</v>
      </c>
    </row>
    <row r="30" spans="3:10">
      <c r="C30">
        <v>28</v>
      </c>
      <c r="D30" s="1">
        <f t="shared" si="0"/>
        <v>0.48869219055841229</v>
      </c>
      <c r="E30" s="1">
        <f t="shared" si="1"/>
        <v>12.551666315774735</v>
      </c>
      <c r="F30" s="2">
        <f t="shared" si="2"/>
        <v>5.2178353717951715</v>
      </c>
      <c r="G30" s="1">
        <f t="shared" si="3"/>
        <v>6.314367556039592</v>
      </c>
      <c r="H30" s="1">
        <f t="shared" si="4"/>
        <v>1.9014047931535516</v>
      </c>
      <c r="I30" s="1">
        <f t="shared" si="5"/>
        <v>8.8294759285892699</v>
      </c>
      <c r="J30" s="1">
        <f t="shared" si="6"/>
        <v>4.6947156278589084</v>
      </c>
    </row>
    <row r="31" spans="3:10">
      <c r="C31">
        <v>29</v>
      </c>
      <c r="D31" s="1">
        <f t="shared" si="0"/>
        <v>0.50614548307835561</v>
      </c>
      <c r="E31" s="1">
        <f t="shared" si="1"/>
        <v>12.484480276409295</v>
      </c>
      <c r="F31" s="2">
        <f t="shared" si="2"/>
        <v>5.6086585164207383</v>
      </c>
      <c r="G31" s="1">
        <f t="shared" si="3"/>
        <v>6.1202153635370111</v>
      </c>
      <c r="H31" s="1">
        <f t="shared" si="4"/>
        <v>2.0808888693723624</v>
      </c>
      <c r="I31" s="1">
        <f t="shared" si="5"/>
        <v>8.7461970713939579</v>
      </c>
      <c r="J31" s="1">
        <f t="shared" si="6"/>
        <v>4.8480962024633705</v>
      </c>
    </row>
    <row r="32" spans="3:10">
      <c r="C32">
        <v>30</v>
      </c>
      <c r="D32" s="1">
        <f t="shared" si="0"/>
        <v>0.52359877559829882</v>
      </c>
      <c r="E32" s="1">
        <f t="shared" si="1"/>
        <v>12.392304845413264</v>
      </c>
      <c r="F32" s="2">
        <f t="shared" si="2"/>
        <v>5.9999999999999991</v>
      </c>
      <c r="G32" s="1">
        <f t="shared" si="3"/>
        <v>5.9282032302755105</v>
      </c>
      <c r="H32" s="1">
        <f t="shared" si="4"/>
        <v>2.2679491924311224</v>
      </c>
      <c r="I32" s="1">
        <f t="shared" si="5"/>
        <v>8.6602540378443873</v>
      </c>
      <c r="J32" s="1">
        <f t="shared" si="6"/>
        <v>4.9999999999999991</v>
      </c>
    </row>
    <row r="33" spans="3:10">
      <c r="C33">
        <v>31</v>
      </c>
      <c r="D33" s="1">
        <f t="shared" si="0"/>
        <v>0.54105206811824214</v>
      </c>
      <c r="E33" s="1">
        <f t="shared" si="1"/>
        <v>12.275051399161894</v>
      </c>
      <c r="F33" s="2">
        <f t="shared" si="2"/>
        <v>6.3895138254559551</v>
      </c>
      <c r="G33" s="1">
        <f t="shared" si="3"/>
        <v>5.7389525986754055</v>
      </c>
      <c r="H33" s="1">
        <f t="shared" si="4"/>
        <v>2.46222945417035</v>
      </c>
      <c r="I33" s="1">
        <f t="shared" si="5"/>
        <v>8.5716730070211238</v>
      </c>
      <c r="J33" s="1">
        <f t="shared" si="6"/>
        <v>5.1503807491005418</v>
      </c>
    </row>
    <row r="34" spans="3:10">
      <c r="C34">
        <v>32</v>
      </c>
      <c r="D34" s="1">
        <f t="shared" si="0"/>
        <v>0.55850536063818546</v>
      </c>
      <c r="E34" s="1">
        <f t="shared" si="1"/>
        <v>12.132872355344723</v>
      </c>
      <c r="F34" s="2">
        <f t="shared" si="2"/>
        <v>6.774854552433978</v>
      </c>
      <c r="G34" s="1">
        <f t="shared" si="3"/>
        <v>5.5530618186000913</v>
      </c>
      <c r="H34" s="1">
        <f t="shared" si="4"/>
        <v>2.6633326066521952</v>
      </c>
      <c r="I34" s="1">
        <f t="shared" si="5"/>
        <v>8.4804809615642593</v>
      </c>
      <c r="J34" s="1">
        <f t="shared" si="6"/>
        <v>5.2991926423320486</v>
      </c>
    </row>
    <row r="35" spans="3:10">
      <c r="C35">
        <v>33</v>
      </c>
      <c r="D35" s="1">
        <f t="shared" si="0"/>
        <v>0.57595865315812877</v>
      </c>
      <c r="E35" s="1">
        <f t="shared" si="1"/>
        <v>11.966159847935396</v>
      </c>
      <c r="F35" s="2">
        <f t="shared" si="2"/>
        <v>7.1537024089302204</v>
      </c>
      <c r="G35" s="1">
        <f t="shared" si="3"/>
        <v>5.3711033308456759</v>
      </c>
      <c r="H35" s="1">
        <f t="shared" si="4"/>
        <v>2.8708226291654282</v>
      </c>
      <c r="I35" s="1">
        <f t="shared" si="5"/>
        <v>8.3867056794542414</v>
      </c>
      <c r="J35" s="1">
        <f t="shared" si="6"/>
        <v>5.4463903501502706</v>
      </c>
    </row>
    <row r="36" spans="3:10">
      <c r="C36">
        <v>34</v>
      </c>
      <c r="D36" s="1">
        <f t="shared" si="0"/>
        <v>0.59341194567807209</v>
      </c>
      <c r="E36" s="1">
        <f t="shared" si="1"/>
        <v>11.775541785945702</v>
      </c>
      <c r="F36" s="2">
        <f t="shared" si="2"/>
        <v>7.5237881278005636</v>
      </c>
      <c r="G36" s="1">
        <f t="shared" si="3"/>
        <v>5.1936209797630308</v>
      </c>
      <c r="H36" s="1">
        <f t="shared" si="4"/>
        <v>3.0842264868479807</v>
      </c>
      <c r="I36" s="1">
        <f t="shared" si="5"/>
        <v>8.2903757255504154</v>
      </c>
      <c r="J36" s="1">
        <f t="shared" si="6"/>
        <v>5.5919290347074693</v>
      </c>
    </row>
    <row r="37" spans="3:10">
      <c r="C37">
        <v>35</v>
      </c>
      <c r="D37" s="1">
        <f t="shared" si="0"/>
        <v>0.6108652381980153</v>
      </c>
      <c r="E37" s="1">
        <f t="shared" si="1"/>
        <v>11.561875339036778</v>
      </c>
      <c r="F37" s="2">
        <f t="shared" si="2"/>
        <v>7.8829172362125517</v>
      </c>
      <c r="G37" s="1">
        <f t="shared" si="3"/>
        <v>5.0211274680739786</v>
      </c>
      <c r="H37" s="1">
        <f t="shared" si="4"/>
        <v>3.3030362714352894</v>
      </c>
      <c r="I37" s="1">
        <f t="shared" si="5"/>
        <v>8.1915204428899173</v>
      </c>
      <c r="J37" s="1">
        <f t="shared" si="6"/>
        <v>5.7357643635104605</v>
      </c>
    </row>
    <row r="38" spans="3:10">
      <c r="C38">
        <v>36</v>
      </c>
      <c r="D38" s="1">
        <f t="shared" si="0"/>
        <v>0.62831853071795862</v>
      </c>
      <c r="E38" s="1">
        <f t="shared" si="1"/>
        <v>11.326237921249264</v>
      </c>
      <c r="F38" s="2">
        <f t="shared" si="2"/>
        <v>8.2289935320946235</v>
      </c>
      <c r="G38" s="1">
        <f t="shared" si="3"/>
        <v>4.8541019662496847</v>
      </c>
      <c r="H38" s="1">
        <f t="shared" si="4"/>
        <v>3.5267115137548384</v>
      </c>
      <c r="I38" s="1">
        <f t="shared" si="5"/>
        <v>8.0901699437494745</v>
      </c>
      <c r="J38" s="1">
        <f t="shared" si="6"/>
        <v>5.8778525229247318</v>
      </c>
    </row>
    <row r="39" spans="3:10">
      <c r="C39">
        <v>37</v>
      </c>
      <c r="D39" s="1">
        <f t="shared" si="0"/>
        <v>0.64577182323790194</v>
      </c>
      <c r="E39" s="1">
        <f t="shared" si="1"/>
        <v>11.069915771522302</v>
      </c>
      <c r="F39" s="2">
        <f t="shared" si="2"/>
        <v>8.5600414905422966</v>
      </c>
      <c r="G39" s="1">
        <f t="shared" si="3"/>
        <v>4.6929878880654909</v>
      </c>
      <c r="H39" s="1">
        <f t="shared" si="4"/>
        <v>3.7546816567499763</v>
      </c>
      <c r="I39" s="1">
        <f t="shared" si="5"/>
        <v>7.9863551004729283</v>
      </c>
      <c r="J39" s="1">
        <f t="shared" si="6"/>
        <v>6.0181502315204831</v>
      </c>
    </row>
    <row r="40" spans="3:10">
      <c r="C40">
        <v>38</v>
      </c>
      <c r="D40" s="1">
        <f t="shared" si="0"/>
        <v>0.66322511575784526</v>
      </c>
      <c r="E40" s="1">
        <f t="shared" si="1"/>
        <v>10.79439025599838</v>
      </c>
      <c r="F40" s="2">
        <f t="shared" si="2"/>
        <v>8.874227354862688</v>
      </c>
      <c r="G40" s="1">
        <f t="shared" si="3"/>
        <v>4.5381908431359212</v>
      </c>
      <c r="H40" s="1">
        <f t="shared" si="4"/>
        <v>3.9863486770334848</v>
      </c>
      <c r="I40" s="1">
        <f t="shared" si="5"/>
        <v>7.8801075360672188</v>
      </c>
      <c r="J40" s="1">
        <f t="shared" si="6"/>
        <v>6.1566147532565827</v>
      </c>
    </row>
    <row r="41" spans="3:10">
      <c r="C41">
        <v>39</v>
      </c>
      <c r="D41" s="1">
        <f t="shared" si="0"/>
        <v>0.68067840827778847</v>
      </c>
      <c r="E41" s="1">
        <f t="shared" si="1"/>
        <v>10.501322042068598</v>
      </c>
      <c r="F41" s="2">
        <f t="shared" si="2"/>
        <v>9.169878681347944</v>
      </c>
      <c r="G41" s="1">
        <f t="shared" si="3"/>
        <v>4.3900767763705657</v>
      </c>
      <c r="H41" s="1">
        <f t="shared" si="4"/>
        <v>4.2210898422470979</v>
      </c>
      <c r="I41" s="1">
        <f t="shared" si="5"/>
        <v>7.771459614569709</v>
      </c>
      <c r="J41" s="1">
        <f t="shared" si="6"/>
        <v>6.2932039104983737</v>
      </c>
    </row>
    <row r="42" spans="3:10">
      <c r="C42">
        <v>40</v>
      </c>
      <c r="D42" s="1">
        <f t="shared" si="0"/>
        <v>0.69813170079773179</v>
      </c>
      <c r="E42" s="1">
        <f t="shared" si="1"/>
        <v>10.192533317427738</v>
      </c>
      <c r="F42" s="2">
        <f t="shared" si="2"/>
        <v>9.4455021238073478</v>
      </c>
      <c r="G42" s="1">
        <f t="shared" si="3"/>
        <v>4.2489703033800073</v>
      </c>
      <c r="H42" s="1">
        <f t="shared" si="4"/>
        <v>4.4582605908409763</v>
      </c>
      <c r="I42" s="1">
        <f t="shared" si="5"/>
        <v>7.6604444311897799</v>
      </c>
      <c r="J42" s="1">
        <f t="shared" si="6"/>
        <v>6.4278760968653925</v>
      </c>
    </row>
    <row r="43" spans="3:10">
      <c r="C43">
        <v>41</v>
      </c>
      <c r="D43" s="1">
        <f t="shared" si="0"/>
        <v>0.71558499331767511</v>
      </c>
      <c r="E43" s="1">
        <f t="shared" si="1"/>
        <v>9.869988248824864</v>
      </c>
      <c r="F43" s="2">
        <f t="shared" si="2"/>
        <v>9.6997992631712897</v>
      </c>
      <c r="G43" s="1">
        <f t="shared" si="3"/>
        <v>4.1151532499055383</v>
      </c>
      <c r="H43" s="1">
        <f t="shared" si="4"/>
        <v>4.69719752029006</v>
      </c>
      <c r="I43" s="1">
        <f t="shared" si="5"/>
        <v>7.5470958022277204</v>
      </c>
      <c r="J43" s="1">
        <f t="shared" si="6"/>
        <v>6.5605902899050728</v>
      </c>
    </row>
    <row r="44" spans="3:10">
      <c r="C44">
        <v>42</v>
      </c>
      <c r="D44" s="1">
        <f t="shared" si="0"/>
        <v>0.73303828583761843</v>
      </c>
      <c r="E44" s="1">
        <f t="shared" si="1"/>
        <v>9.5357718944786267</v>
      </c>
      <c r="F44" s="2">
        <f t="shared" si="2"/>
        <v>9.9316803088966061</v>
      </c>
      <c r="G44" s="1">
        <f t="shared" si="3"/>
        <v>3.9888634023515426</v>
      </c>
      <c r="H44" s="1">
        <f t="shared" si="4"/>
        <v>4.9372214692353475</v>
      </c>
      <c r="I44" s="1">
        <f t="shared" si="5"/>
        <v>7.431448254773942</v>
      </c>
      <c r="J44" s="1">
        <f t="shared" si="6"/>
        <v>6.6913060635885824</v>
      </c>
    </row>
    <row r="45" spans="3:10">
      <c r="C45">
        <v>43</v>
      </c>
      <c r="D45" s="1">
        <f t="shared" si="0"/>
        <v>0.75049157835756175</v>
      </c>
      <c r="E45" s="1">
        <f t="shared" si="1"/>
        <v>9.1920678010655639</v>
      </c>
      <c r="F45" s="2">
        <f t="shared" si="2"/>
        <v>10.140275522217593</v>
      </c>
      <c r="G45" s="1">
        <f t="shared" si="3"/>
        <v>3.870293475470223</v>
      </c>
      <c r="H45" s="1">
        <f t="shared" si="4"/>
        <v>5.1776406785798574</v>
      </c>
      <c r="I45" s="1">
        <f t="shared" si="5"/>
        <v>7.3135370161917042</v>
      </c>
      <c r="J45" s="1">
        <f t="shared" si="6"/>
        <v>6.819983600624985</v>
      </c>
    </row>
    <row r="46" spans="3:10">
      <c r="C46">
        <v>44</v>
      </c>
      <c r="D46" s="1">
        <f t="shared" si="0"/>
        <v>0.76794487087750496</v>
      </c>
      <c r="E46" s="1">
        <f t="shared" si="1"/>
        <v>8.841134530599124</v>
      </c>
      <c r="F46" s="2">
        <f t="shared" si="2"/>
        <v>10.324944236244514</v>
      </c>
      <c r="G46" s="1">
        <f t="shared" si="3"/>
        <v>3.7595903021895611</v>
      </c>
      <c r="H46" s="1">
        <f t="shared" si="4"/>
        <v>5.4177540161837268</v>
      </c>
      <c r="I46" s="1">
        <f t="shared" si="5"/>
        <v>7.1933980033865117</v>
      </c>
      <c r="J46" s="1">
        <f t="shared" si="6"/>
        <v>6.9465837045899725</v>
      </c>
    </row>
    <row r="47" spans="3:10">
      <c r="C47">
        <v>45</v>
      </c>
      <c r="D47" s="1">
        <f t="shared" si="0"/>
        <v>0.78539816339744828</v>
      </c>
      <c r="E47" s="1">
        <f t="shared" si="1"/>
        <v>8.4852813742385713</v>
      </c>
      <c r="F47" s="2">
        <f t="shared" si="2"/>
        <v>10.48528137423857</v>
      </c>
      <c r="G47" s="1">
        <f t="shared" si="3"/>
        <v>3.6568542494923806</v>
      </c>
      <c r="H47" s="1">
        <f t="shared" si="4"/>
        <v>5.6568542494923797</v>
      </c>
      <c r="I47" s="1">
        <f t="shared" si="5"/>
        <v>7.0710678118654755</v>
      </c>
      <c r="J47" s="1">
        <f t="shared" si="6"/>
        <v>7.0710678118654746</v>
      </c>
    </row>
    <row r="48" spans="3:10">
      <c r="C48">
        <v>46</v>
      </c>
      <c r="D48" s="1">
        <f t="shared" si="0"/>
        <v>0.8028514559173916</v>
      </c>
      <c r="E48" s="1">
        <f t="shared" si="1"/>
        <v>8.1268435189726596</v>
      </c>
      <c r="F48" s="2">
        <f t="shared" si="2"/>
        <v>10.62112139480036</v>
      </c>
      <c r="G48" s="1">
        <f t="shared" si="3"/>
        <v>3.5621388631523296</v>
      </c>
      <c r="H48" s="1">
        <f t="shared" si="4"/>
        <v>5.894231350197459</v>
      </c>
      <c r="I48" s="1">
        <f t="shared" si="5"/>
        <v>6.9465837045899725</v>
      </c>
      <c r="J48" s="1">
        <f t="shared" si="6"/>
        <v>7.1933980033865108</v>
      </c>
    </row>
    <row r="49" spans="3:10">
      <c r="C49">
        <v>47</v>
      </c>
      <c r="D49" s="1">
        <f t="shared" si="0"/>
        <v>0.82030474843733492</v>
      </c>
      <c r="E49" s="1">
        <f t="shared" si="1"/>
        <v>7.768156939114462</v>
      </c>
      <c r="F49" s="2">
        <f t="shared" si="2"/>
        <v>10.732539620897658</v>
      </c>
      <c r="G49" s="1">
        <f t="shared" si="3"/>
        <v>3.4754507430168475</v>
      </c>
      <c r="H49" s="1">
        <f t="shared" si="4"/>
        <v>6.1291758148734949</v>
      </c>
      <c r="I49" s="1">
        <f t="shared" si="5"/>
        <v>6.819983600624985</v>
      </c>
      <c r="J49" s="1">
        <f t="shared" si="6"/>
        <v>7.3135370161917042</v>
      </c>
    </row>
    <row r="50" spans="3:10">
      <c r="C50">
        <v>48</v>
      </c>
      <c r="D50" s="1">
        <f t="shared" si="0"/>
        <v>0.83775804095727824</v>
      </c>
      <c r="E50" s="1">
        <f t="shared" si="1"/>
        <v>7.4115332875564039</v>
      </c>
      <c r="F50" s="2">
        <f t="shared" si="2"/>
        <v>10.819850938319039</v>
      </c>
      <c r="G50" s="1">
        <f t="shared" si="3"/>
        <v>3.3967496494032545</v>
      </c>
      <c r="H50" s="1">
        <f t="shared" si="4"/>
        <v>6.3609819854546732</v>
      </c>
      <c r="I50" s="1">
        <f t="shared" si="5"/>
        <v>6.6913060635885824</v>
      </c>
      <c r="J50" s="1">
        <f t="shared" si="6"/>
        <v>7.431448254773942</v>
      </c>
    </row>
    <row r="51" spans="3:10">
      <c r="C51">
        <v>49</v>
      </c>
      <c r="D51" s="1">
        <f t="shared" si="0"/>
        <v>0.85521133347722145</v>
      </c>
      <c r="E51" s="1">
        <f t="shared" si="1"/>
        <v>7.0592350617344879</v>
      </c>
      <c r="F51" s="2">
        <f t="shared" si="2"/>
        <v>10.883605877958466</v>
      </c>
      <c r="G51" s="1">
        <f t="shared" si="3"/>
        <v>3.3259488400474204</v>
      </c>
      <c r="H51" s="1">
        <f t="shared" si="4"/>
        <v>6.5889513534161743</v>
      </c>
      <c r="I51" s="1">
        <f t="shared" si="5"/>
        <v>6.5605902899050728</v>
      </c>
      <c r="J51" s="1">
        <f t="shared" si="6"/>
        <v>7.5470958022277204</v>
      </c>
    </row>
    <row r="52" spans="3:10">
      <c r="C52">
        <v>50</v>
      </c>
      <c r="D52" s="1">
        <f t="shared" si="0"/>
        <v>0.87266462599716477</v>
      </c>
      <c r="E52" s="1">
        <f t="shared" si="1"/>
        <v>6.7134513162384728</v>
      </c>
      <c r="F52" s="2">
        <f t="shared" si="2"/>
        <v>10.924584124996613</v>
      </c>
      <c r="G52" s="1">
        <f t="shared" si="3"/>
        <v>3.262915635920498</v>
      </c>
      <c r="H52" s="1">
        <f t="shared" si="4"/>
        <v>6.8123958316031619</v>
      </c>
      <c r="I52" s="1">
        <f t="shared" si="5"/>
        <v>6.4278760968653934</v>
      </c>
      <c r="J52" s="1">
        <f t="shared" si="6"/>
        <v>7.6604444311897799</v>
      </c>
    </row>
    <row r="53" spans="3:10">
      <c r="C53">
        <v>51</v>
      </c>
      <c r="D53" s="1">
        <f t="shared" si="0"/>
        <v>0.89011791851710809</v>
      </c>
      <c r="E53" s="1">
        <f t="shared" si="1"/>
        <v>6.3762741880131042</v>
      </c>
      <c r="F53" s="2">
        <f t="shared" si="2"/>
        <v>10.943785526233546</v>
      </c>
      <c r="G53" s="1">
        <f t="shared" si="3"/>
        <v>3.2074722131134985</v>
      </c>
      <c r="H53" s="1">
        <f t="shared" si="4"/>
        <v>7.0306409778073675</v>
      </c>
      <c r="I53" s="1">
        <f t="shared" si="5"/>
        <v>6.2932039104983755</v>
      </c>
      <c r="J53" s="1">
        <f t="shared" si="6"/>
        <v>7.771459614569709</v>
      </c>
    </row>
    <row r="54" spans="3:10">
      <c r="C54">
        <v>52</v>
      </c>
      <c r="D54" s="1">
        <f t="shared" si="0"/>
        <v>0.90757121103705141</v>
      </c>
      <c r="E54" s="1">
        <f t="shared" si="1"/>
        <v>6.0496764911901835</v>
      </c>
      <c r="F54" s="2">
        <f t="shared" si="2"/>
        <v>10.942418694235453</v>
      </c>
      <c r="G54" s="1">
        <f t="shared" si="3"/>
        <v>3.1593966168874124</v>
      </c>
      <c r="H54" s="1">
        <f t="shared" si="4"/>
        <v>7.2430291544255576</v>
      </c>
      <c r="I54" s="1">
        <f t="shared" si="5"/>
        <v>6.1566147532565827</v>
      </c>
      <c r="J54" s="1">
        <f t="shared" si="6"/>
        <v>7.8801075360672197</v>
      </c>
    </row>
    <row r="55" spans="3:10">
      <c r="C55">
        <v>53</v>
      </c>
      <c r="D55" s="1">
        <f t="shared" si="0"/>
        <v>0.92502450355699462</v>
      </c>
      <c r="E55" s="1">
        <f t="shared" si="1"/>
        <v>5.7354906268697929</v>
      </c>
      <c r="F55" s="2">
        <f t="shared" si="2"/>
        <v>10.921887333285232</v>
      </c>
      <c r="G55" s="1">
        <f t="shared" si="3"/>
        <v>3.1184239929035349</v>
      </c>
      <c r="H55" s="1">
        <f t="shared" si="4"/>
        <v>7.448922608844752</v>
      </c>
      <c r="I55" s="1">
        <f t="shared" si="5"/>
        <v>6.018150231520484</v>
      </c>
      <c r="J55" s="1">
        <f t="shared" si="6"/>
        <v>7.9863551004729283</v>
      </c>
    </row>
    <row r="56" spans="3:10">
      <c r="C56">
        <v>54</v>
      </c>
      <c r="D56" s="1">
        <f t="shared" si="0"/>
        <v>0.94247779607693793</v>
      </c>
      <c r="E56" s="1">
        <f t="shared" si="1"/>
        <v>5.4353890387597827</v>
      </c>
      <c r="F56" s="2">
        <f t="shared" si="2"/>
        <v>10.883774437084316</v>
      </c>
      <c r="G56" s="1">
        <f t="shared" si="3"/>
        <v>3.0842480295898902</v>
      </c>
      <c r="H56" s="1">
        <f t="shared" si="4"/>
        <v>7.6477064595845254</v>
      </c>
      <c r="I56" s="1">
        <f t="shared" si="5"/>
        <v>5.8778525229247318</v>
      </c>
      <c r="J56" s="1">
        <f t="shared" si="6"/>
        <v>8.0901699437494745</v>
      </c>
    </row>
    <row r="57" spans="3:10">
      <c r="C57">
        <v>55</v>
      </c>
      <c r="D57" s="1">
        <f t="shared" si="0"/>
        <v>0.95993108859688125</v>
      </c>
      <c r="E57" s="1">
        <f t="shared" si="1"/>
        <v>5.1508664286436767</v>
      </c>
      <c r="F57" s="2">
        <f t="shared" si="2"/>
        <v>10.829824531467901</v>
      </c>
      <c r="G57" s="1">
        <f t="shared" si="3"/>
        <v>3.0565226045704135</v>
      </c>
      <c r="H57" s="1">
        <f t="shared" si="4"/>
        <v>7.8387915736850129</v>
      </c>
      <c r="I57" s="1">
        <f t="shared" si="5"/>
        <v>5.7357643635104614</v>
      </c>
      <c r="J57" s="1">
        <f t="shared" si="6"/>
        <v>8.1915204428899173</v>
      </c>
    </row>
    <row r="58" spans="3:10">
      <c r="C58">
        <v>56</v>
      </c>
      <c r="D58" s="1">
        <f t="shared" si="0"/>
        <v>0.97738438111682457</v>
      </c>
      <c r="E58" s="1">
        <f t="shared" si="1"/>
        <v>4.88322392636376</v>
      </c>
      <c r="F58" s="2">
        <f t="shared" si="2"/>
        <v>10.761924156812102</v>
      </c>
      <c r="G58" s="1">
        <f t="shared" si="3"/>
        <v>3.0348636270886722</v>
      </c>
      <c r="H58" s="1">
        <f t="shared" si="4"/>
        <v>8.0216173213583293</v>
      </c>
      <c r="I58" s="1">
        <f t="shared" si="5"/>
        <v>5.5919290347074675</v>
      </c>
      <c r="J58" s="1">
        <f t="shared" si="6"/>
        <v>8.2903757255504171</v>
      </c>
    </row>
    <row r="59" spans="3:10">
      <c r="C59">
        <v>57</v>
      </c>
      <c r="D59" s="1">
        <f t="shared" si="0"/>
        <v>0.99483767363676789</v>
      </c>
      <c r="E59" s="1">
        <f t="shared" si="1"/>
        <v>4.6335553875900182</v>
      </c>
      <c r="F59" s="2">
        <f t="shared" si="2"/>
        <v>10.682080804094984</v>
      </c>
      <c r="G59" s="1">
        <f t="shared" si="3"/>
        <v>3.0188510674025002</v>
      </c>
      <c r="H59" s="1">
        <f t="shared" si="4"/>
        <v>8.1956541945181804</v>
      </c>
      <c r="I59" s="1">
        <f t="shared" si="5"/>
        <v>5.4463903501502706</v>
      </c>
      <c r="J59" s="1">
        <f t="shared" si="6"/>
        <v>8.3867056794542414</v>
      </c>
    </row>
    <row r="60" spans="3:10">
      <c r="C60">
        <v>58</v>
      </c>
      <c r="D60" s="1">
        <f t="shared" si="0"/>
        <v>1.0122909661567112</v>
      </c>
      <c r="E60" s="1">
        <f t="shared" si="1"/>
        <v>4.4027359693308474</v>
      </c>
      <c r="F60" s="2">
        <f t="shared" si="2"/>
        <v>10.592400535512629</v>
      </c>
      <c r="G60" s="1">
        <f t="shared" si="3"/>
        <v>3.0080311632143228</v>
      </c>
      <c r="H60" s="1">
        <f t="shared" si="4"/>
        <v>8.3604062764648521</v>
      </c>
      <c r="I60" s="1">
        <f t="shared" si="5"/>
        <v>5.2991926423320486</v>
      </c>
      <c r="J60" s="1">
        <f t="shared" si="6"/>
        <v>8.4804809615642593</v>
      </c>
    </row>
    <row r="61" spans="3:10">
      <c r="C61">
        <v>59</v>
      </c>
      <c r="D61" s="1">
        <f t="shared" si="0"/>
        <v>1.0297442586766545</v>
      </c>
      <c r="E61" s="1">
        <f t="shared" si="1"/>
        <v>4.1914131081841024</v>
      </c>
      <c r="F61" s="2">
        <f t="shared" si="2"/>
        <v>10.495064534960653</v>
      </c>
      <c r="G61" s="1">
        <f t="shared" si="3"/>
        <v>3.0019187923389401</v>
      </c>
      <c r="H61" s="1">
        <f t="shared" si="4"/>
        <v>8.5154135507269828</v>
      </c>
      <c r="I61" s="1">
        <f t="shared" si="5"/>
        <v>5.1503807491005418</v>
      </c>
      <c r="J61" s="1">
        <f t="shared" si="6"/>
        <v>8.5716730070211238</v>
      </c>
    </row>
    <row r="62" spans="3:10">
      <c r="C62">
        <v>60</v>
      </c>
      <c r="D62" s="1">
        <f t="shared" si="0"/>
        <v>1.0471975511965976</v>
      </c>
      <c r="E62" s="1">
        <f t="shared" si="1"/>
        <v>4.0000000000000018</v>
      </c>
      <c r="F62" s="2">
        <f t="shared" si="2"/>
        <v>10.392304845413264</v>
      </c>
      <c r="G62" s="1">
        <f t="shared" si="3"/>
        <v>3</v>
      </c>
      <c r="H62" s="1">
        <f t="shared" si="4"/>
        <v>8.6602540378443855</v>
      </c>
      <c r="I62" s="1">
        <f t="shared" si="5"/>
        <v>5.0000000000000009</v>
      </c>
      <c r="J62" s="1">
        <f t="shared" si="6"/>
        <v>8.6602540378443855</v>
      </c>
    </row>
    <row r="63" spans="3:10">
      <c r="C63">
        <v>61</v>
      </c>
      <c r="D63" s="1">
        <f t="shared" si="0"/>
        <v>1.064650843716541</v>
      </c>
      <c r="E63" s="1">
        <f t="shared" si="1"/>
        <v>3.8286716522194979</v>
      </c>
      <c r="F63" s="2">
        <f t="shared" si="2"/>
        <v>10.286379559137442</v>
      </c>
      <c r="G63" s="1">
        <f t="shared" si="3"/>
        <v>3.0017346683925412</v>
      </c>
      <c r="H63" s="1">
        <f t="shared" si="4"/>
        <v>8.7945457497134996</v>
      </c>
      <c r="I63" s="1">
        <f t="shared" si="5"/>
        <v>4.8480962024633714</v>
      </c>
      <c r="J63" s="1">
        <f t="shared" si="6"/>
        <v>8.7461970713939579</v>
      </c>
    </row>
    <row r="64" spans="3:10">
      <c r="C64">
        <v>62</v>
      </c>
      <c r="D64" s="1">
        <f t="shared" si="0"/>
        <v>1.0821041362364843</v>
      </c>
      <c r="E64" s="1">
        <f t="shared" si="1"/>
        <v>3.6773635519630794</v>
      </c>
      <c r="F64" s="2">
        <f t="shared" si="2"/>
        <v>10.179547732671605</v>
      </c>
      <c r="G64" s="1">
        <f t="shared" si="3"/>
        <v>3.0065593154553021</v>
      </c>
      <c r="H64" s="1">
        <f t="shared" si="4"/>
        <v>8.917948452004989</v>
      </c>
      <c r="I64" s="1">
        <f t="shared" si="5"/>
        <v>4.6947156278589084</v>
      </c>
      <c r="J64" s="1">
        <f t="shared" si="6"/>
        <v>8.8294759285892681</v>
      </c>
    </row>
    <row r="65" spans="3:10">
      <c r="C65">
        <v>63</v>
      </c>
      <c r="D65" s="1">
        <f t="shared" si="0"/>
        <v>1.0995574287564276</v>
      </c>
      <c r="E65" s="1">
        <f t="shared" si="1"/>
        <v>3.5457729642842546</v>
      </c>
      <c r="F65" s="2">
        <f t="shared" si="2"/>
        <v>10.074044301510519</v>
      </c>
      <c r="G65" s="1">
        <f t="shared" si="3"/>
        <v>3.0138900091664791</v>
      </c>
      <c r="H65" s="1">
        <f t="shared" si="4"/>
        <v>9.0301652260972496</v>
      </c>
      <c r="I65" s="1">
        <f t="shared" si="5"/>
        <v>4.5399049973954684</v>
      </c>
      <c r="J65" s="1">
        <f t="shared" si="6"/>
        <v>8.9100652418836788</v>
      </c>
    </row>
    <row r="66" spans="3:10">
      <c r="C66">
        <v>64</v>
      </c>
      <c r="D66" s="1">
        <f t="shared" si="0"/>
        <v>1.1170107212763709</v>
      </c>
      <c r="E66" s="1">
        <f t="shared" si="1"/>
        <v>3.4333628461837282</v>
      </c>
      <c r="F66" s="2">
        <f t="shared" si="2"/>
        <v>9.972055269438405</v>
      </c>
      <c r="G66" s="1">
        <f t="shared" si="3"/>
        <v>3.023125383113284</v>
      </c>
      <c r="H66" s="1">
        <f t="shared" si="4"/>
        <v>9.1309438229453299</v>
      </c>
      <c r="I66" s="1">
        <f t="shared" si="5"/>
        <v>4.3837114678907749</v>
      </c>
      <c r="J66" s="1">
        <f t="shared" si="6"/>
        <v>8.9879404629916699</v>
      </c>
    </row>
    <row r="67" spans="3:10">
      <c r="C67">
        <v>65</v>
      </c>
      <c r="D67" s="1">
        <f t="shared" ref="D67:D130" si="7">RADIANS(C67)</f>
        <v>1.1344640137963142</v>
      </c>
      <c r="E67" s="1">
        <f t="shared" ref="E67:E130" si="8">($B$1+$B$2)*COS(D67) - $B$3*COS((($B$1+$B$2)/$B$2)*D67)</f>
        <v>3.3393683333195159</v>
      </c>
      <c r="F67" s="2">
        <f t="shared" ref="F67:F130" si="9">($B$1+$B$2)*SIN(D67) - $B$3*SIN((($B$1+$B$2)/$B$2)*D67)</f>
        <v>9.8756934444397988</v>
      </c>
      <c r="G67" s="1">
        <f t="shared" ref="G67:G130" si="10">($B$1-$B$2)*COS(D67) + $B$3*COS((($B$1-$B$2)/$B$2)*D67)</f>
        <v>3.0336497385917349</v>
      </c>
      <c r="H67" s="1">
        <f t="shared" ref="H67:H130" si="11">($B$1-$B$2)*SIN(D67) - $B$3*SIN((($B$1-$B$2)/$B$2)*D67)</f>
        <v>9.2200778023176149</v>
      </c>
      <c r="I67" s="1">
        <f t="shared" ref="I67:I130" si="12">$B$1*COS(D67)</f>
        <v>4.2261826174069945</v>
      </c>
      <c r="J67" s="1">
        <f t="shared" ref="J67:J130" si="13">$B$1*SIN(D67)</f>
        <v>9.0630778703664987</v>
      </c>
    </row>
    <row r="68" spans="3:10">
      <c r="C68">
        <v>66</v>
      </c>
      <c r="D68" s="1">
        <f t="shared" si="7"/>
        <v>1.1519173063162575</v>
      </c>
      <c r="E68" s="1">
        <f t="shared" si="8"/>
        <v>3.2628057281597078</v>
      </c>
      <c r="F68" s="2">
        <f t="shared" si="9"/>
        <v>9.7869749871262641</v>
      </c>
      <c r="G68" s="1">
        <f t="shared" si="10"/>
        <v>3.0448362180710951</v>
      </c>
      <c r="H68" s="1">
        <f t="shared" si="11"/>
        <v>9.2974074518773531</v>
      </c>
      <c r="I68" s="1">
        <f t="shared" si="12"/>
        <v>4.0673664307580024</v>
      </c>
      <c r="J68" s="1">
        <f t="shared" si="13"/>
        <v>9.1354545764260084</v>
      </c>
    </row>
    <row r="69" spans="3:10">
      <c r="C69">
        <v>67</v>
      </c>
      <c r="D69" s="1">
        <f t="shared" si="7"/>
        <v>1.1693705988362009</v>
      </c>
      <c r="E69" s="1">
        <f t="shared" si="8"/>
        <v>3.202483890916497</v>
      </c>
      <c r="F69" s="2">
        <f t="shared" si="9"/>
        <v>9.7077970287115676</v>
      </c>
      <c r="G69" s="1">
        <f t="shared" si="10"/>
        <v>3.0560500345091883</v>
      </c>
      <c r="H69" s="1">
        <f t="shared" si="11"/>
        <v>9.3628204816577139</v>
      </c>
      <c r="I69" s="1">
        <f t="shared" si="12"/>
        <v>3.9073112848927369</v>
      </c>
      <c r="J69" s="1">
        <f t="shared" si="13"/>
        <v>9.2050485345244031</v>
      </c>
    </row>
    <row r="70" spans="3:10">
      <c r="C70">
        <v>68</v>
      </c>
      <c r="D70" s="1">
        <f t="shared" si="7"/>
        <v>1.1868238913561442</v>
      </c>
      <c r="E70" s="1">
        <f t="shared" si="8"/>
        <v>3.1570179082732284</v>
      </c>
      <c r="F70" s="2">
        <f t="shared" si="9"/>
        <v>9.6399166038466593</v>
      </c>
      <c r="G70" s="1">
        <f t="shared" si="10"/>
        <v>3.0666517407322984</v>
      </c>
      <c r="H70" s="1">
        <f t="shared" si="11"/>
        <v>9.4162524905724911</v>
      </c>
      <c r="I70" s="1">
        <f t="shared" si="12"/>
        <v>3.7460659341591196</v>
      </c>
      <c r="J70" s="1">
        <f t="shared" si="13"/>
        <v>9.2718385456678742</v>
      </c>
    </row>
    <row r="71" spans="3:10">
      <c r="C71">
        <v>69</v>
      </c>
      <c r="D71" s="1">
        <f t="shared" si="7"/>
        <v>1.2042771838760873</v>
      </c>
      <c r="E71" s="1">
        <f t="shared" si="8"/>
        <v>3.1248448899586574</v>
      </c>
      <c r="F71" s="2">
        <f t="shared" si="9"/>
        <v>9.5849311292165265</v>
      </c>
      <c r="G71" s="1">
        <f t="shared" si="10"/>
        <v>3.0760005228977092</v>
      </c>
      <c r="H71" s="1">
        <f t="shared" si="11"/>
        <v>9.4576872027141601</v>
      </c>
      <c r="I71" s="1">
        <f t="shared" si="12"/>
        <v>3.583679495453004</v>
      </c>
      <c r="J71" s="1">
        <f t="shared" si="13"/>
        <v>9.3358042649720172</v>
      </c>
    </row>
    <row r="72" spans="3:10">
      <c r="C72">
        <v>70</v>
      </c>
      <c r="D72" s="1">
        <f t="shared" si="7"/>
        <v>1.2217304763960306</v>
      </c>
      <c r="E72" s="1">
        <f t="shared" si="8"/>
        <v>3.1042417199080248</v>
      </c>
      <c r="F72" s="2">
        <f t="shared" si="9"/>
        <v>9.5442606418620226</v>
      </c>
      <c r="G72" s="1">
        <f t="shared" si="10"/>
        <v>3.0834575019392103</v>
      </c>
      <c r="H72" s="1">
        <f t="shared" si="11"/>
        <v>9.4871564723116819</v>
      </c>
      <c r="I72" s="1">
        <f t="shared" si="12"/>
        <v>3.4202014332566884</v>
      </c>
      <c r="J72" s="1">
        <f t="shared" si="13"/>
        <v>9.3969262078590834</v>
      </c>
    </row>
    <row r="73" spans="3:10">
      <c r="C73">
        <v>71</v>
      </c>
      <c r="D73" s="1">
        <f t="shared" si="7"/>
        <v>1.2391837689159739</v>
      </c>
      <c r="E73" s="1">
        <f t="shared" si="8"/>
        <v>3.0933445673342792</v>
      </c>
      <c r="F73" s="2">
        <f t="shared" si="9"/>
        <v>9.5191319919066011</v>
      </c>
      <c r="G73" s="1">
        <f t="shared" si="10"/>
        <v>3.0883890268565888</v>
      </c>
      <c r="H73" s="1">
        <f t="shared" si="11"/>
        <v>9.5047400573465275</v>
      </c>
      <c r="I73" s="1">
        <f t="shared" si="12"/>
        <v>3.2556815445715674</v>
      </c>
      <c r="J73" s="1">
        <f t="shared" si="13"/>
        <v>9.4551857559931669</v>
      </c>
    </row>
    <row r="74" spans="3:10">
      <c r="C74">
        <v>72</v>
      </c>
      <c r="D74" s="1">
        <f t="shared" si="7"/>
        <v>1.2566370614359172</v>
      </c>
      <c r="E74" s="1">
        <f t="shared" si="8"/>
        <v>3.0901699437494741</v>
      </c>
      <c r="F74" s="2">
        <f t="shared" si="9"/>
        <v>9.5105651629515346</v>
      </c>
      <c r="G74" s="1">
        <f t="shared" si="10"/>
        <v>3.0901699437494741</v>
      </c>
      <c r="H74" s="1">
        <f t="shared" si="11"/>
        <v>9.5105651629515364</v>
      </c>
      <c r="I74" s="1">
        <f t="shared" si="12"/>
        <v>3.0901699437494745</v>
      </c>
      <c r="J74" s="1">
        <f t="shared" si="13"/>
        <v>9.5105651629515346</v>
      </c>
    </row>
    <row r="75" spans="3:10">
      <c r="C75">
        <v>73</v>
      </c>
      <c r="D75" s="1">
        <f t="shared" si="7"/>
        <v>1.2740903539558606</v>
      </c>
      <c r="E75" s="1">
        <f t="shared" si="8"/>
        <v>3.0926370750373233</v>
      </c>
      <c r="F75" s="2">
        <f t="shared" si="9"/>
        <v>9.5193618700888134</v>
      </c>
      <c r="G75" s="1">
        <f t="shared" si="10"/>
        <v>3.0881868246137181</v>
      </c>
      <c r="H75" s="1">
        <f t="shared" si="11"/>
        <v>9.5048057568378574</v>
      </c>
      <c r="I75" s="1">
        <f t="shared" si="12"/>
        <v>2.9237170472273677</v>
      </c>
      <c r="J75" s="1">
        <f t="shared" si="13"/>
        <v>9.5630475596303537</v>
      </c>
    </row>
    <row r="76" spans="3:10">
      <c r="C76">
        <v>74</v>
      </c>
      <c r="D76" s="1">
        <f t="shared" si="7"/>
        <v>1.2915436464758039</v>
      </c>
      <c r="E76" s="1">
        <f t="shared" si="8"/>
        <v>3.0985913432686831</v>
      </c>
      <c r="F76" s="2">
        <f t="shared" si="9"/>
        <v>9.5460965605232797</v>
      </c>
      <c r="G76" s="1">
        <f t="shared" si="10"/>
        <v>3.0818411401141481</v>
      </c>
      <c r="H76" s="1">
        <f t="shared" si="11"/>
        <v>9.4876816601048848</v>
      </c>
      <c r="I76" s="1">
        <f t="shared" si="12"/>
        <v>2.7563735581699915</v>
      </c>
      <c r="J76" s="1">
        <f t="shared" si="13"/>
        <v>9.6126169593831889</v>
      </c>
    </row>
    <row r="77" spans="3:10">
      <c r="C77">
        <v>75</v>
      </c>
      <c r="D77" s="1">
        <f t="shared" si="7"/>
        <v>1.3089969389957472</v>
      </c>
      <c r="E77" s="1">
        <f t="shared" si="8"/>
        <v>3.1058285412302484</v>
      </c>
      <c r="F77" s="2">
        <f t="shared" si="9"/>
        <v>9.5911099154688202</v>
      </c>
      <c r="G77" s="1">
        <f t="shared" si="10"/>
        <v>3.0705523608201659</v>
      </c>
      <c r="H77" s="1">
        <f t="shared" si="11"/>
        <v>9.4594574178814241</v>
      </c>
      <c r="I77" s="1">
        <f t="shared" si="12"/>
        <v>2.5881904510252074</v>
      </c>
      <c r="J77" s="1">
        <f t="shared" si="13"/>
        <v>9.6592582628906829</v>
      </c>
    </row>
    <row r="78" spans="3:10">
      <c r="C78">
        <v>76</v>
      </c>
      <c r="D78" s="1">
        <f t="shared" si="7"/>
        <v>1.3264502315156905</v>
      </c>
      <c r="E78" s="1">
        <f t="shared" si="8"/>
        <v>3.1121196737313195</v>
      </c>
      <c r="F78" s="2">
        <f t="shared" si="9"/>
        <v>9.6545049245754111</v>
      </c>
      <c r="G78" s="1">
        <f t="shared" si="10"/>
        <v>3.0537609717388357</v>
      </c>
      <c r="H78" s="1">
        <f t="shared" si="11"/>
        <v>9.420440955318055</v>
      </c>
      <c r="I78" s="1">
        <f t="shared" si="12"/>
        <v>2.4192189559966768</v>
      </c>
      <c r="J78" s="1">
        <f t="shared" si="13"/>
        <v>9.7029572627599645</v>
      </c>
    </row>
    <row r="79" spans="3:10">
      <c r="C79">
        <v>77</v>
      </c>
      <c r="D79" s="1">
        <f t="shared" si="7"/>
        <v>1.3439035240356338</v>
      </c>
      <c r="E79" s="1">
        <f t="shared" si="8"/>
        <v>3.1152360337618994</v>
      </c>
      <c r="F79" s="2">
        <f t="shared" si="9"/>
        <v>9.7361455759552111</v>
      </c>
      <c r="G79" s="1">
        <f t="shared" si="10"/>
        <v>3.0309313854022362</v>
      </c>
      <c r="H79" s="1">
        <f t="shared" si="11"/>
        <v>9.3709820254953264</v>
      </c>
      <c r="I79" s="1">
        <f t="shared" si="12"/>
        <v>2.2495105434386491</v>
      </c>
      <c r="J79" s="1">
        <f t="shared" si="13"/>
        <v>9.7437006478523518</v>
      </c>
    </row>
    <row r="80" spans="3:10">
      <c r="C80">
        <v>78</v>
      </c>
      <c r="D80" s="1">
        <f t="shared" si="7"/>
        <v>1.3613568165555769</v>
      </c>
      <c r="E80" s="1">
        <f t="shared" si="8"/>
        <v>3.1129742785630077</v>
      </c>
      <c r="F80" s="2">
        <f t="shared" si="9"/>
        <v>9.8356581762153592</v>
      </c>
      <c r="G80" s="1">
        <f t="shared" si="10"/>
        <v>3.0015547392597912</v>
      </c>
      <c r="H80" s="1">
        <f t="shared" si="11"/>
        <v>9.3114704568252336</v>
      </c>
      <c r="I80" s="1">
        <f t="shared" si="12"/>
        <v>2.0791169081775944</v>
      </c>
      <c r="J80" s="1">
        <f t="shared" si="13"/>
        <v>9.7814760073380551</v>
      </c>
    </row>
    <row r="81" spans="3:10">
      <c r="C81">
        <v>79</v>
      </c>
      <c r="D81" s="1">
        <f t="shared" si="7"/>
        <v>1.3788101090755203</v>
      </c>
      <c r="E81" s="1">
        <f t="shared" si="8"/>
        <v>3.1031812306701396</v>
      </c>
      <c r="F81" s="2">
        <f t="shared" si="9"/>
        <v>9.952435286086768</v>
      </c>
      <c r="G81" s="1">
        <f t="shared" si="10"/>
        <v>2.9651515636896608</v>
      </c>
      <c r="H81" s="1">
        <f t="shared" si="11"/>
        <v>9.2423342084993063</v>
      </c>
      <c r="I81" s="1">
        <f t="shared" si="12"/>
        <v>1.9080899537654492</v>
      </c>
      <c r="J81" s="1">
        <f t="shared" si="13"/>
        <v>9.8162718344766393</v>
      </c>
    </row>
    <row r="82" spans="3:10">
      <c r="C82">
        <v>80</v>
      </c>
      <c r="D82" s="1">
        <f t="shared" si="7"/>
        <v>1.3962634015954636</v>
      </c>
      <c r="E82" s="1">
        <f t="shared" si="8"/>
        <v>3.0837781320031636</v>
      </c>
      <c r="F82" s="2">
        <f t="shared" si="9"/>
        <v>10.085642228577617</v>
      </c>
      <c r="G82" s="1">
        <f t="shared" si="10"/>
        <v>2.9212743075733991</v>
      </c>
      <c r="H82" s="1">
        <f t="shared" si="11"/>
        <v>9.1640372434707427</v>
      </c>
      <c r="I82" s="1">
        <f t="shared" si="12"/>
        <v>1.7364817766693041</v>
      </c>
      <c r="J82" s="1">
        <f t="shared" si="13"/>
        <v>9.8480775301220795</v>
      </c>
    </row>
    <row r="83" spans="3:10">
      <c r="C83">
        <v>81</v>
      </c>
      <c r="D83" s="1">
        <f t="shared" si="7"/>
        <v>1.4137166941154069</v>
      </c>
      <c r="E83" s="1">
        <f t="shared" si="8"/>
        <v>3.0527840850677168</v>
      </c>
      <c r="F83" s="2">
        <f t="shared" si="9"/>
        <v>10.234226098391758</v>
      </c>
      <c r="G83" s="1">
        <f t="shared" si="10"/>
        <v>2.8695097090717421</v>
      </c>
      <c r="H83" s="1">
        <f t="shared" si="11"/>
        <v>9.0770772293460489</v>
      </c>
      <c r="I83" s="1">
        <f t="shared" si="12"/>
        <v>1.5643446504023093</v>
      </c>
      <c r="J83" s="1">
        <f t="shared" si="13"/>
        <v>9.8768834059513786</v>
      </c>
    </row>
    <row r="84" spans="3:10">
      <c r="C84">
        <v>82</v>
      </c>
      <c r="D84" s="1">
        <f t="shared" si="7"/>
        <v>1.4311699866353502</v>
      </c>
      <c r="E84" s="1">
        <f t="shared" si="8"/>
        <v>3.0083384242385023</v>
      </c>
      <c r="F84" s="2">
        <f t="shared" si="9"/>
        <v>10.396927173944057</v>
      </c>
      <c r="G84" s="1">
        <f t="shared" si="10"/>
        <v>2.8094809999933759</v>
      </c>
      <c r="H84" s="1">
        <f t="shared" si="11"/>
        <v>8.9819830783989723</v>
      </c>
      <c r="I84" s="1">
        <f t="shared" si="12"/>
        <v>1.3917310096006545</v>
      </c>
      <c r="J84" s="1">
        <f t="shared" si="13"/>
        <v>9.9026806874157032</v>
      </c>
    </row>
    <row r="85" spans="3:10">
      <c r="C85">
        <v>83</v>
      </c>
      <c r="D85" s="1">
        <f t="shared" si="7"/>
        <v>1.4486232791552935</v>
      </c>
      <c r="E85" s="1">
        <f t="shared" si="8"/>
        <v>2.9487217718165573</v>
      </c>
      <c r="F85" s="2">
        <f t="shared" si="9"/>
        <v>10.572292606978145</v>
      </c>
      <c r="G85" s="1">
        <f t="shared" si="10"/>
        <v>2.7408499329590335</v>
      </c>
      <c r="H85" s="1">
        <f t="shared" si="11"/>
        <v>8.8793123387023574</v>
      </c>
      <c r="I85" s="1">
        <f t="shared" si="12"/>
        <v>1.2186934340514748</v>
      </c>
      <c r="J85" s="1">
        <f t="shared" si="13"/>
        <v>9.9254615164132201</v>
      </c>
    </row>
    <row r="86" spans="3:10">
      <c r="C86">
        <v>84</v>
      </c>
      <c r="D86" s="1">
        <f t="shared" si="7"/>
        <v>1.4660765716752369</v>
      </c>
      <c r="E86" s="1">
        <f t="shared" si="8"/>
        <v>2.8723755479617359</v>
      </c>
      <c r="F86" s="2">
        <f t="shared" si="9"/>
        <v>10.758692239834332</v>
      </c>
      <c r="G86" s="1">
        <f t="shared" si="10"/>
        <v>2.6633186214264297</v>
      </c>
      <c r="H86" s="1">
        <f t="shared" si="11"/>
        <v>8.7696484490977866</v>
      </c>
      <c r="I86" s="1">
        <f t="shared" si="12"/>
        <v>1.0452846326765346</v>
      </c>
      <c r="J86" s="1">
        <f t="shared" si="13"/>
        <v>9.9452189536827333</v>
      </c>
    </row>
    <row r="87" spans="3:10">
      <c r="C87">
        <v>85</v>
      </c>
      <c r="D87" s="1">
        <f t="shared" si="7"/>
        <v>1.4835298641951802</v>
      </c>
      <c r="E87" s="1">
        <f t="shared" si="8"/>
        <v>2.7779197205407753</v>
      </c>
      <c r="F87" s="2">
        <f t="shared" si="9"/>
        <v>10.954336377100947</v>
      </c>
      <c r="G87" s="1">
        <f t="shared" si="10"/>
        <v>2.576631183553082</v>
      </c>
      <c r="H87" s="1">
        <f t="shared" si="11"/>
        <v>8.6535978713853012</v>
      </c>
      <c r="I87" s="1">
        <f t="shared" si="12"/>
        <v>0.87155742747658138</v>
      </c>
      <c r="J87" s="1">
        <f t="shared" si="13"/>
        <v>9.961946980917455</v>
      </c>
    </row>
    <row r="88" spans="3:10">
      <c r="C88">
        <v>86</v>
      </c>
      <c r="D88" s="1">
        <f t="shared" si="7"/>
        <v>1.5009831567151235</v>
      </c>
      <c r="E88" s="1">
        <f t="shared" si="8"/>
        <v>2.6641686002147051</v>
      </c>
      <c r="F88" s="2">
        <f t="shared" si="9"/>
        <v>11.157295316966291</v>
      </c>
      <c r="G88" s="1">
        <f t="shared" si="10"/>
        <v>2.4805751818296398</v>
      </c>
      <c r="H88" s="1">
        <f t="shared" si="11"/>
        <v>8.5317871137125909</v>
      </c>
      <c r="I88" s="1">
        <f t="shared" si="12"/>
        <v>0.69756473744125236</v>
      </c>
      <c r="J88" s="1">
        <f t="shared" si="13"/>
        <v>9.9756405025982424</v>
      </c>
    </row>
    <row r="89" spans="3:10">
      <c r="C89">
        <v>87</v>
      </c>
      <c r="D89" s="1">
        <f t="shared" si="7"/>
        <v>1.5184364492350666</v>
      </c>
      <c r="E89" s="1">
        <f t="shared" si="8"/>
        <v>2.5301445075056344</v>
      </c>
      <c r="F89" s="2">
        <f t="shared" si="9"/>
        <v>11.365520428304992</v>
      </c>
      <c r="G89" s="1">
        <f t="shared" si="10"/>
        <v>2.3749828514111631</v>
      </c>
      <c r="H89" s="1">
        <f t="shared" si="11"/>
        <v>8.4048596596721108</v>
      </c>
      <c r="I89" s="1">
        <f t="shared" si="12"/>
        <v>0.52335956242943971</v>
      </c>
      <c r="J89" s="1">
        <f t="shared" si="13"/>
        <v>9.9862953475457381</v>
      </c>
    </row>
    <row r="90" spans="3:10">
      <c r="C90">
        <v>88</v>
      </c>
      <c r="D90" s="1">
        <f t="shared" si="7"/>
        <v>1.5358897417550099</v>
      </c>
      <c r="E90" s="1">
        <f t="shared" si="8"/>
        <v>2.3750891618976238</v>
      </c>
      <c r="F90" s="2">
        <f t="shared" si="9"/>
        <v>11.576866542593628</v>
      </c>
      <c r="G90" s="1">
        <f t="shared" si="10"/>
        <v>2.259732111103149</v>
      </c>
      <c r="H90" s="1">
        <f t="shared" si="11"/>
        <v>8.2734728180728982</v>
      </c>
      <c r="I90" s="1">
        <f t="shared" si="12"/>
        <v>0.34899496702501082</v>
      </c>
      <c r="J90" s="1">
        <f t="shared" si="13"/>
        <v>9.993908270190957</v>
      </c>
    </row>
    <row r="91" spans="3:10">
      <c r="C91">
        <v>89</v>
      </c>
      <c r="D91" s="1">
        <f t="shared" si="7"/>
        <v>1.5533430342749532</v>
      </c>
      <c r="E91" s="1">
        <f t="shared" si="8"/>
        <v>2.1984726679839497</v>
      </c>
      <c r="F91" s="2">
        <f t="shared" si="9"/>
        <v>11.789115415341387</v>
      </c>
      <c r="G91" s="1">
        <f t="shared" si="10"/>
        <v>2.134747352017917</v>
      </c>
      <c r="H91" s="1">
        <f t="shared" si="11"/>
        <v>8.1382945087393814</v>
      </c>
      <c r="I91" s="1">
        <f t="shared" si="12"/>
        <v>0.17452406437283599</v>
      </c>
      <c r="J91" s="1">
        <f t="shared" si="13"/>
        <v>9.9984769515639123</v>
      </c>
    </row>
    <row r="92" spans="3:10">
      <c r="C92">
        <v>90</v>
      </c>
      <c r="D92" s="1">
        <f t="shared" si="7"/>
        <v>1.5707963267948966</v>
      </c>
      <c r="E92" s="1">
        <f t="shared" si="8"/>
        <v>2.0000000000000009</v>
      </c>
      <c r="F92" s="2">
        <f t="shared" si="9"/>
        <v>12</v>
      </c>
      <c r="G92" s="1">
        <f t="shared" si="10"/>
        <v>2.0000000000000004</v>
      </c>
      <c r="H92" s="1">
        <f t="shared" si="11"/>
        <v>8</v>
      </c>
      <c r="I92" s="1">
        <f t="shared" si="12"/>
        <v>6.1257422745431001E-16</v>
      </c>
      <c r="J92" s="1">
        <f t="shared" si="13"/>
        <v>10</v>
      </c>
    </row>
    <row r="93" spans="3:10">
      <c r="C93">
        <v>91</v>
      </c>
      <c r="D93" s="1">
        <f t="shared" si="7"/>
        <v>1.5882496193148399</v>
      </c>
      <c r="E93" s="1">
        <f t="shared" si="8"/>
        <v>1.7796149134891448</v>
      </c>
      <c r="F93" s="2">
        <f t="shared" si="9"/>
        <v>12.207229268412004</v>
      </c>
      <c r="G93" s="1">
        <f t="shared" si="10"/>
        <v>1.8555088490213807</v>
      </c>
      <c r="H93" s="1">
        <f t="shared" si="11"/>
        <v>7.8592686137628798</v>
      </c>
      <c r="I93" s="1">
        <f t="shared" si="12"/>
        <v>-0.17452406437283477</v>
      </c>
      <c r="J93" s="1">
        <f t="shared" si="13"/>
        <v>9.9984769515639123</v>
      </c>
    </row>
    <row r="94" spans="3:10">
      <c r="C94">
        <v>92</v>
      </c>
      <c r="D94" s="1">
        <f t="shared" si="7"/>
        <v>1.6057029118347832</v>
      </c>
      <c r="E94" s="1">
        <f t="shared" si="8"/>
        <v>1.5375012410375994</v>
      </c>
      <c r="F94" s="2">
        <f t="shared" si="9"/>
        <v>12.40851330586467</v>
      </c>
      <c r="G94" s="1">
        <f t="shared" si="10"/>
        <v>1.7013401638631331</v>
      </c>
      <c r="H94" s="1">
        <f t="shared" si="11"/>
        <v>7.7167804142326357</v>
      </c>
      <c r="I94" s="1">
        <f t="shared" si="12"/>
        <v>-0.34899496702500954</v>
      </c>
      <c r="J94" s="1">
        <f t="shared" si="13"/>
        <v>9.993908270190957</v>
      </c>
    </row>
    <row r="95" spans="3:10">
      <c r="C95">
        <v>93</v>
      </c>
      <c r="D95" s="1">
        <f t="shared" si="7"/>
        <v>1.6231562043547265</v>
      </c>
      <c r="E95" s="1">
        <f t="shared" si="8"/>
        <v>1.2740815576749811</v>
      </c>
      <c r="F95" s="2">
        <f t="shared" si="9"/>
        <v>12.601588405804781</v>
      </c>
      <c r="G95" s="1">
        <f t="shared" si="10"/>
        <v>1.5376075515240604</v>
      </c>
      <c r="H95" s="1">
        <f t="shared" si="11"/>
        <v>7.5732128964010723</v>
      </c>
      <c r="I95" s="1">
        <f t="shared" si="12"/>
        <v>-0.52335956242943837</v>
      </c>
      <c r="J95" s="1">
        <f t="shared" si="13"/>
        <v>9.9862953475457381</v>
      </c>
    </row>
    <row r="96" spans="3:10">
      <c r="C96">
        <v>94</v>
      </c>
      <c r="D96" s="1">
        <f t="shared" si="7"/>
        <v>1.6406094968746698</v>
      </c>
      <c r="E96" s="1">
        <f t="shared" si="8"/>
        <v>0.99001323035569755</v>
      </c>
      <c r="F96" s="2">
        <f t="shared" si="9"/>
        <v>12.78424188926949</v>
      </c>
      <c r="G96" s="1">
        <f t="shared" si="10"/>
        <v>1.3644716019236349</v>
      </c>
      <c r="H96" s="1">
        <f t="shared" si="11"/>
        <v>7.4292376904445945</v>
      </c>
      <c r="I96" s="1">
        <f t="shared" si="12"/>
        <v>-0.69756473744125325</v>
      </c>
      <c r="J96" s="1">
        <f t="shared" si="13"/>
        <v>9.9756405025982424</v>
      </c>
    </row>
    <row r="97" spans="3:10">
      <c r="C97">
        <v>95</v>
      </c>
      <c r="D97" s="1">
        <f t="shared" si="7"/>
        <v>1.6580627893946132</v>
      </c>
      <c r="E97" s="1">
        <f t="shared" si="8"/>
        <v>0.68618189459697776</v>
      </c>
      <c r="F97" s="2">
        <f t="shared" si="9"/>
        <v>12.954336377100949</v>
      </c>
      <c r="G97" s="1">
        <f t="shared" si="10"/>
        <v>1.1821392995905509</v>
      </c>
      <c r="H97" s="1">
        <f t="shared" si="11"/>
        <v>7.2855172980826266</v>
      </c>
      <c r="I97" s="1">
        <f t="shared" si="12"/>
        <v>-0.87155742747658238</v>
      </c>
      <c r="J97" s="1">
        <f t="shared" si="13"/>
        <v>9.961946980917455</v>
      </c>
    </row>
    <row r="98" spans="3:10">
      <c r="C98">
        <v>96</v>
      </c>
      <c r="D98" s="1">
        <f t="shared" si="7"/>
        <v>1.6755160819145565</v>
      </c>
      <c r="E98" s="1">
        <f t="shared" si="8"/>
        <v>0.36369242953805259</v>
      </c>
      <c r="F98" s="2">
        <f t="shared" si="9"/>
        <v>13.109833249004224</v>
      </c>
      <c r="G98" s="1">
        <f t="shared" si="10"/>
        <v>0.99086320914397308</v>
      </c>
      <c r="H98" s="1">
        <f t="shared" si="11"/>
        <v>7.1427018767945851</v>
      </c>
      <c r="I98" s="1">
        <f t="shared" si="12"/>
        <v>-1.0452846326765355</v>
      </c>
      <c r="J98" s="1">
        <f t="shared" si="13"/>
        <v>9.9452189536827333</v>
      </c>
    </row>
    <row r="99" spans="3:10">
      <c r="C99">
        <v>97</v>
      </c>
      <c r="D99" s="1">
        <f t="shared" si="7"/>
        <v>1.6929693744344996</v>
      </c>
      <c r="E99" s="1">
        <f t="shared" si="8"/>
        <v>2.3857530093019941E-2</v>
      </c>
      <c r="F99" s="2">
        <f t="shared" si="9"/>
        <v>13.248815032413582</v>
      </c>
      <c r="G99" s="1">
        <f t="shared" si="10"/>
        <v>0.7909404384766755</v>
      </c>
      <c r="H99" s="1">
        <f t="shared" si="11"/>
        <v>7.0014260875587961</v>
      </c>
      <c r="I99" s="1">
        <f t="shared" si="12"/>
        <v>-1.2186934340514737</v>
      </c>
      <c r="J99" s="1">
        <f t="shared" si="13"/>
        <v>9.9254615164132218</v>
      </c>
    </row>
    <row r="100" spans="3:10">
      <c r="C100">
        <v>98</v>
      </c>
      <c r="D100" s="1">
        <f t="shared" si="7"/>
        <v>1.7104226669544429</v>
      </c>
      <c r="E100" s="1">
        <f t="shared" si="8"/>
        <v>-0.33181599880306645</v>
      </c>
      <c r="F100" s="2">
        <f t="shared" si="9"/>
        <v>13.369506475853633</v>
      </c>
      <c r="G100" s="1">
        <f t="shared" si="10"/>
        <v>0.58271138463232952</v>
      </c>
      <c r="H100" s="1">
        <f t="shared" si="11"/>
        <v>6.8623060214661535</v>
      </c>
      <c r="I100" s="1">
        <f t="shared" si="12"/>
        <v>-1.3917310096006537</v>
      </c>
      <c r="J100" s="1">
        <f t="shared" si="13"/>
        <v>9.9026806874157032</v>
      </c>
    </row>
    <row r="101" spans="3:10">
      <c r="C101">
        <v>99</v>
      </c>
      <c r="D101" s="1">
        <f t="shared" si="7"/>
        <v>1.7278759594743862</v>
      </c>
      <c r="E101" s="1">
        <f t="shared" si="8"/>
        <v>-0.70164307589782271</v>
      </c>
      <c r="F101" s="2">
        <f t="shared" si="9"/>
        <v>13.470294075891548</v>
      </c>
      <c r="G101" s="1">
        <f t="shared" si="10"/>
        <v>0.36655826842804862</v>
      </c>
      <c r="H101" s="1">
        <f t="shared" si="11"/>
        <v>6.7259362201761563</v>
      </c>
      <c r="I101" s="1">
        <f t="shared" si="12"/>
        <v>-1.5643446504023082</v>
      </c>
      <c r="J101" s="1">
        <f t="shared" si="13"/>
        <v>9.8768834059513786</v>
      </c>
    </row>
    <row r="102" spans="3:10">
      <c r="C102">
        <v>100</v>
      </c>
      <c r="D102" s="1">
        <f t="shared" si="7"/>
        <v>1.7453292519943295</v>
      </c>
      <c r="E102" s="1">
        <f t="shared" si="8"/>
        <v>-1.0837781320031641</v>
      </c>
      <c r="F102" s="2">
        <f t="shared" si="9"/>
        <v>13.549743843715373</v>
      </c>
      <c r="G102" s="1">
        <f t="shared" si="10"/>
        <v>0.14290346490251382</v>
      </c>
      <c r="H102" s="1">
        <f t="shared" si="11"/>
        <v>6.5928868047245857</v>
      </c>
      <c r="I102" s="1">
        <f t="shared" si="12"/>
        <v>-1.736481776669303</v>
      </c>
      <c r="J102" s="1">
        <f t="shared" si="13"/>
        <v>9.8480775301220795</v>
      </c>
    </row>
    <row r="103" spans="3:10">
      <c r="C103">
        <v>101</v>
      </c>
      <c r="D103" s="1">
        <f t="shared" si="7"/>
        <v>1.7627825445142729</v>
      </c>
      <c r="E103" s="1">
        <f t="shared" si="8"/>
        <v>-1.4762346583669352</v>
      </c>
      <c r="F103" s="2">
        <f t="shared" si="9"/>
        <v>13.606617116657169</v>
      </c>
      <c r="G103" s="1">
        <f t="shared" si="10"/>
        <v>-8.7792362335056051E-2</v>
      </c>
      <c r="H103" s="1">
        <f t="shared" si="11"/>
        <v>6.4637007266633173</v>
      </c>
      <c r="I103" s="1">
        <f t="shared" si="12"/>
        <v>-1.9080899537654481</v>
      </c>
      <c r="J103" s="1">
        <f t="shared" si="13"/>
        <v>9.8162718344766393</v>
      </c>
    </row>
    <row r="104" spans="3:10">
      <c r="C104">
        <v>102</v>
      </c>
      <c r="D104" s="1">
        <f t="shared" si="7"/>
        <v>1.7802358370342162</v>
      </c>
      <c r="E104" s="1">
        <f t="shared" si="8"/>
        <v>-1.8769063010632161</v>
      </c>
      <c r="F104" s="2">
        <f t="shared" si="9"/>
        <v>13.639884241395976</v>
      </c>
      <c r="G104" s="1">
        <f t="shared" si="10"/>
        <v>-0.32503231382435827</v>
      </c>
      <c r="H104" s="1">
        <f t="shared" si="11"/>
        <v>6.3388911549156575</v>
      </c>
      <c r="I104" s="1">
        <f t="shared" si="12"/>
        <v>-2.0791169081775935</v>
      </c>
      <c r="J104" s="1">
        <f t="shared" si="13"/>
        <v>9.7814760073380569</v>
      </c>
    </row>
    <row r="105" spans="3:10">
      <c r="C105">
        <v>103</v>
      </c>
      <c r="D105" s="1">
        <f t="shared" si="7"/>
        <v>1.7976891295541595</v>
      </c>
      <c r="E105" s="1">
        <f t="shared" si="8"/>
        <v>-2.2835892704908618</v>
      </c>
      <c r="F105" s="2">
        <f t="shared" si="9"/>
        <v>13.648735978890434</v>
      </c>
      <c r="G105" s="1">
        <f t="shared" si="10"/>
        <v>-0.56828548409960389</v>
      </c>
      <c r="H105" s="1">
        <f t="shared" si="11"/>
        <v>6.2189390110684375</v>
      </c>
      <c r="I105" s="1">
        <f t="shared" si="12"/>
        <v>-2.2495105434386504</v>
      </c>
      <c r="J105" s="1">
        <f t="shared" si="13"/>
        <v>9.7437006478523518</v>
      </c>
    </row>
    <row r="106" spans="3:10">
      <c r="C106">
        <v>104</v>
      </c>
      <c r="D106" s="1">
        <f t="shared" si="7"/>
        <v>1.8151424220741028</v>
      </c>
      <c r="E106" s="1">
        <f t="shared" si="8"/>
        <v>-2.694005820660708</v>
      </c>
      <c r="F106" s="2">
        <f t="shared" si="9"/>
        <v>13.632592506048505</v>
      </c>
      <c r="G106" s="1">
        <f t="shared" si="10"/>
        <v>-0.81698935785584892</v>
      </c>
      <c r="H106" s="1">
        <f t="shared" si="11"/>
        <v>6.1042906650978885</v>
      </c>
      <c r="I106" s="1">
        <f t="shared" si="12"/>
        <v>-2.4192189559966777</v>
      </c>
      <c r="J106" s="1">
        <f t="shared" si="13"/>
        <v>9.7029572627599645</v>
      </c>
    </row>
    <row r="107" spans="3:10">
      <c r="C107">
        <v>105</v>
      </c>
      <c r="D107" s="1">
        <f t="shared" si="7"/>
        <v>1.8325957145940461</v>
      </c>
      <c r="E107" s="1">
        <f t="shared" si="8"/>
        <v>-3.1058285412302529</v>
      </c>
      <c r="F107" s="2">
        <f t="shared" si="9"/>
        <v>13.59110991546882</v>
      </c>
      <c r="G107" s="1">
        <f t="shared" si="10"/>
        <v>-1.0705523608201672</v>
      </c>
      <c r="H107" s="1">
        <f t="shared" si="11"/>
        <v>5.9953558027436689</v>
      </c>
      <c r="I107" s="1">
        <f t="shared" si="12"/>
        <v>-2.5881904510252083</v>
      </c>
      <c r="J107" s="1">
        <f t="shared" si="13"/>
        <v>9.6592582628906829</v>
      </c>
    </row>
    <row r="108" spans="3:10">
      <c r="C108">
        <v>106</v>
      </c>
      <c r="D108" s="1">
        <f t="shared" si="7"/>
        <v>1.8500490071139892</v>
      </c>
      <c r="E108" s="1">
        <f t="shared" si="8"/>
        <v>-3.5167051963392923</v>
      </c>
      <c r="F108" s="2">
        <f t="shared" si="9"/>
        <v>13.524184141996374</v>
      </c>
      <c r="G108" s="1">
        <f t="shared" si="10"/>
        <v>-1.3283565529578367</v>
      </c>
      <c r="H108" s="1">
        <f t="shared" si="11"/>
        <v>5.8925054749082175</v>
      </c>
      <c r="I108" s="1">
        <f t="shared" si="12"/>
        <v>-2.7563735581699906</v>
      </c>
      <c r="J108" s="1">
        <f t="shared" si="13"/>
        <v>9.6126169593831889</v>
      </c>
    </row>
    <row r="109" spans="3:10">
      <c r="C109">
        <v>107</v>
      </c>
      <c r="D109" s="1">
        <f t="shared" si="7"/>
        <v>1.8675022996339325</v>
      </c>
      <c r="E109" s="1">
        <f t="shared" si="8"/>
        <v>-3.9242838383083565</v>
      </c>
      <c r="F109" s="2">
        <f t="shared" si="9"/>
        <v>13.431952273024038</v>
      </c>
      <c r="G109" s="1">
        <f t="shared" si="10"/>
        <v>-1.5897604509500685</v>
      </c>
      <c r="H109" s="1">
        <f t="shared" si="11"/>
        <v>5.7960703385707095</v>
      </c>
      <c r="I109" s="1">
        <f t="shared" si="12"/>
        <v>-2.9237170472273668</v>
      </c>
      <c r="J109" s="1">
        <f t="shared" si="13"/>
        <v>9.5630475596303555</v>
      </c>
    </row>
    <row r="110" spans="3:10">
      <c r="C110">
        <v>108</v>
      </c>
      <c r="D110" s="1">
        <f t="shared" si="7"/>
        <v>1.8849555921538759</v>
      </c>
      <c r="E110" s="1">
        <f t="shared" si="8"/>
        <v>-4.3262379212492625</v>
      </c>
      <c r="F110" s="2">
        <f t="shared" si="9"/>
        <v>13.314791228132151</v>
      </c>
      <c r="G110" s="1">
        <f t="shared" si="10"/>
        <v>-1.8541019662496834</v>
      </c>
      <c r="H110" s="1">
        <f t="shared" si="11"/>
        <v>5.7063390977709219</v>
      </c>
      <c r="I110" s="1">
        <f t="shared" si="12"/>
        <v>-3.0901699437494736</v>
      </c>
      <c r="J110" s="1">
        <f t="shared" si="13"/>
        <v>9.5105651629515364</v>
      </c>
    </row>
    <row r="111" spans="3:10">
      <c r="C111">
        <v>109</v>
      </c>
      <c r="D111" s="1">
        <f t="shared" si="7"/>
        <v>1.9024088846738192</v>
      </c>
      <c r="E111" s="1">
        <f t="shared" si="8"/>
        <v>-4.7202911396374798</v>
      </c>
      <c r="F111" s="2">
        <f t="shared" si="9"/>
        <v>13.173313822477004</v>
      </c>
      <c r="G111" s="1">
        <f t="shared" si="10"/>
        <v>-2.1207014444579171</v>
      </c>
      <c r="H111" s="1">
        <f t="shared" si="11"/>
        <v>5.623557152242542</v>
      </c>
      <c r="I111" s="1">
        <f t="shared" si="12"/>
        <v>-3.2556815445715666</v>
      </c>
      <c r="J111" s="1">
        <f t="shared" si="13"/>
        <v>9.4551857559931687</v>
      </c>
    </row>
    <row r="112" spans="3:10">
      <c r="C112">
        <v>110</v>
      </c>
      <c r="D112" s="1">
        <f t="shared" si="7"/>
        <v>1.9198621771937625</v>
      </c>
      <c r="E112" s="1">
        <f t="shared" si="8"/>
        <v>-5.1042417199080266</v>
      </c>
      <c r="F112" s="2">
        <f t="shared" si="9"/>
        <v>13.008362256999778</v>
      </c>
      <c r="G112" s="1">
        <f t="shared" si="10"/>
        <v>-2.3888647912714887</v>
      </c>
      <c r="H112" s="1">
        <f t="shared" si="11"/>
        <v>5.5479254602628512</v>
      </c>
      <c r="I112" s="1">
        <f t="shared" si="12"/>
        <v>-3.420201433256687</v>
      </c>
      <c r="J112" s="1">
        <f t="shared" si="13"/>
        <v>9.3969262078590852</v>
      </c>
    </row>
    <row r="113" spans="3:10">
      <c r="C113">
        <v>111</v>
      </c>
      <c r="D113" s="1">
        <f t="shared" si="7"/>
        <v>1.9373154697137058</v>
      </c>
      <c r="E113" s="1">
        <f t="shared" si="8"/>
        <v>-5.4759858991285491</v>
      </c>
      <c r="F113" s="2">
        <f t="shared" si="9"/>
        <v>12.820999106716316</v>
      </c>
      <c r="G113" s="1">
        <f t="shared" si="10"/>
        <v>-2.6578866698270951</v>
      </c>
      <c r="H113" s="1">
        <f t="shared" si="11"/>
        <v>5.4795996212410678</v>
      </c>
      <c r="I113" s="1">
        <f t="shared" si="12"/>
        <v>-3.5836794954530027</v>
      </c>
      <c r="J113" s="1">
        <f t="shared" si="13"/>
        <v>9.3358042649720172</v>
      </c>
    </row>
    <row r="114" spans="3:10">
      <c r="C114">
        <v>112</v>
      </c>
      <c r="D114" s="1">
        <f t="shared" si="7"/>
        <v>1.9547687622336491</v>
      </c>
      <c r="E114" s="1">
        <f t="shared" si="8"/>
        <v>-5.8335403337086618</v>
      </c>
      <c r="F114" s="2">
        <f t="shared" si="9"/>
        <v>12.612495905756237</v>
      </c>
      <c r="G114" s="1">
        <f t="shared" si="10"/>
        <v>-2.9270537539222947</v>
      </c>
      <c r="H114" s="1">
        <f t="shared" si="11"/>
        <v>5.4186891824961076</v>
      </c>
      <c r="I114" s="1">
        <f t="shared" si="12"/>
        <v>-3.7460659341591205</v>
      </c>
      <c r="J114" s="1">
        <f t="shared" si="13"/>
        <v>9.2718385456678742</v>
      </c>
    </row>
    <row r="115" spans="3:10">
      <c r="C115">
        <v>113</v>
      </c>
      <c r="D115" s="1">
        <f t="shared" si="7"/>
        <v>1.9722220547535925</v>
      </c>
      <c r="E115" s="1">
        <f t="shared" si="8"/>
        <v>-6.1750631928260749</v>
      </c>
      <c r="F115" s="2">
        <f t="shared" si="9"/>
        <v>12.384319454146997</v>
      </c>
      <c r="G115" s="1">
        <f t="shared" si="10"/>
        <v>-3.1956480213191925</v>
      </c>
      <c r="H115" s="1">
        <f t="shared" si="11"/>
        <v>5.3652571735813304</v>
      </c>
      <c r="I115" s="1">
        <f t="shared" si="12"/>
        <v>-3.9073112848927378</v>
      </c>
      <c r="J115" s="1">
        <f t="shared" si="13"/>
        <v>9.2050485345244031</v>
      </c>
    </row>
    <row r="116" spans="3:10">
      <c r="C116">
        <v>114</v>
      </c>
      <c r="D116" s="1">
        <f t="shared" si="7"/>
        <v>1.9896753472735358</v>
      </c>
      <c r="E116" s="1">
        <f t="shared" si="8"/>
        <v>-6.4988737056594976</v>
      </c>
      <c r="F116" s="2">
        <f t="shared" si="9"/>
        <v>12.138115996296158</v>
      </c>
      <c r="G116" s="1">
        <f t="shared" si="10"/>
        <v>-3.4629500711417096</v>
      </c>
      <c r="H116" s="1">
        <f t="shared" si="11"/>
        <v>5.3193198704042608</v>
      </c>
      <c r="I116" s="1">
        <f t="shared" si="12"/>
        <v>-4.0673664307580024</v>
      </c>
      <c r="J116" s="1">
        <f t="shared" si="13"/>
        <v>9.1354545764260084</v>
      </c>
    </row>
    <row r="117" spans="3:10">
      <c r="C117">
        <v>115</v>
      </c>
      <c r="D117" s="1">
        <f t="shared" si="7"/>
        <v>2.0071286397934789</v>
      </c>
      <c r="E117" s="1">
        <f t="shared" si="8"/>
        <v>-6.8034699484572698</v>
      </c>
      <c r="F117" s="2">
        <f t="shared" si="9"/>
        <v>11.875693444439801</v>
      </c>
      <c r="G117" s="1">
        <f t="shared" si="10"/>
        <v>-3.7282424492594544</v>
      </c>
      <c r="H117" s="1">
        <f t="shared" si="11"/>
        <v>5.2808467902687841</v>
      </c>
      <c r="I117" s="1">
        <f t="shared" si="12"/>
        <v>-4.2261826174069936</v>
      </c>
      <c r="J117" s="1">
        <f t="shared" si="13"/>
        <v>9.0630778703665005</v>
      </c>
    </row>
    <row r="118" spans="3:10">
      <c r="C118">
        <v>116</v>
      </c>
      <c r="D118" s="1">
        <f t="shared" si="7"/>
        <v>2.0245819323134224</v>
      </c>
      <c r="E118" s="1">
        <f t="shared" si="8"/>
        <v>-7.087544676754133</v>
      </c>
      <c r="F118" s="2">
        <f t="shared" si="9"/>
        <v>11.599001841741602</v>
      </c>
      <c r="G118" s="1">
        <f t="shared" si="10"/>
        <v>-3.9908129655119566</v>
      </c>
      <c r="H118" s="1">
        <f t="shared" si="11"/>
        <v>5.2497609178413427</v>
      </c>
      <c r="I118" s="1">
        <f t="shared" si="12"/>
        <v>-4.3837114678907749</v>
      </c>
      <c r="J118" s="1">
        <f t="shared" si="13"/>
        <v>8.9879404629916699</v>
      </c>
    </row>
    <row r="119" spans="3:10">
      <c r="C119">
        <v>117</v>
      </c>
      <c r="D119" s="1">
        <f t="shared" si="7"/>
        <v>2.0420352248333655</v>
      </c>
      <c r="E119" s="1">
        <f t="shared" si="8"/>
        <v>-7.3499990294648665</v>
      </c>
      <c r="F119" s="2">
        <f t="shared" si="9"/>
        <v>11.310112279010312</v>
      </c>
      <c r="G119" s="1">
        <f t="shared" si="10"/>
        <v>-4.249957986666268</v>
      </c>
      <c r="H119" s="1">
        <f t="shared" si="11"/>
        <v>5.2259391609166359</v>
      </c>
      <c r="I119" s="1">
        <f t="shared" si="12"/>
        <v>-4.5399049973954666</v>
      </c>
      <c r="J119" s="1">
        <f t="shared" si="13"/>
        <v>8.9100652418836788</v>
      </c>
    </row>
    <row r="120" spans="3:10">
      <c r="C120">
        <v>118</v>
      </c>
      <c r="D120" s="1">
        <f t="shared" si="7"/>
        <v>2.0594885173533091</v>
      </c>
      <c r="E120" s="1">
        <f t="shared" si="8"/>
        <v>-7.589953954898303</v>
      </c>
      <c r="F120" s="2">
        <f t="shared" si="9"/>
        <v>11.011194495942638</v>
      </c>
      <c r="G120" s="1">
        <f t="shared" si="10"/>
        <v>-4.5049856891189526</v>
      </c>
      <c r="H120" s="1">
        <f t="shared" si="11"/>
        <v>5.2092130337378411</v>
      </c>
      <c r="I120" s="1">
        <f t="shared" si="12"/>
        <v>-4.6947156278589093</v>
      </c>
      <c r="J120" s="1">
        <f t="shared" si="13"/>
        <v>8.8294759285892681</v>
      </c>
    </row>
    <row r="121" spans="3:10">
      <c r="C121">
        <v>119</v>
      </c>
      <c r="D121" s="1">
        <f t="shared" si="7"/>
        <v>2.0769418098732522</v>
      </c>
      <c r="E121" s="1">
        <f t="shared" si="8"/>
        <v>-7.8067592336925902</v>
      </c>
      <c r="F121" s="2">
        <f t="shared" si="9"/>
        <v>10.704493412208059</v>
      </c>
      <c r="G121" s="1">
        <f t="shared" si="10"/>
        <v>-4.7552192555488508</v>
      </c>
      <c r="H121" s="1">
        <f t="shared" si="11"/>
        <v>5.1993695645168323</v>
      </c>
      <c r="I121" s="1">
        <f t="shared" si="12"/>
        <v>-4.8480962024633705</v>
      </c>
      <c r="J121" s="1">
        <f t="shared" si="13"/>
        <v>8.7461970713939579</v>
      </c>
    </row>
    <row r="122" spans="3:10">
      <c r="C122">
        <v>120</v>
      </c>
      <c r="D122" s="1">
        <f t="shared" si="7"/>
        <v>2.0943951023931953</v>
      </c>
      <c r="E122" s="1">
        <f t="shared" si="8"/>
        <v>-7.9999999999999973</v>
      </c>
      <c r="F122" s="2">
        <f t="shared" si="9"/>
        <v>10.392304845413266</v>
      </c>
      <c r="G122" s="1">
        <f t="shared" si="10"/>
        <v>-4.9999999999999964</v>
      </c>
      <c r="H122" s="1">
        <f t="shared" si="11"/>
        <v>5.1961524227066311</v>
      </c>
      <c r="I122" s="1">
        <f t="shared" si="12"/>
        <v>-4.9999999999999982</v>
      </c>
      <c r="J122" s="1">
        <f t="shared" si="13"/>
        <v>8.6602540378443873</v>
      </c>
    </row>
    <row r="123" spans="3:10">
      <c r="C123">
        <v>121</v>
      </c>
      <c r="D123" s="1">
        <f t="shared" si="7"/>
        <v>2.1118483949131388</v>
      </c>
      <c r="E123" s="1">
        <f t="shared" si="8"/>
        <v>-8.1695006896571982</v>
      </c>
      <c r="F123" s="2">
        <f t="shared" si="9"/>
        <v>10.07695068189004</v>
      </c>
      <c r="G123" s="1">
        <f t="shared" si="10"/>
        <v>-5.2386904062219282</v>
      </c>
      <c r="H123" s="1">
        <f t="shared" si="11"/>
        <v>5.1992632605068154</v>
      </c>
      <c r="I123" s="1">
        <f t="shared" si="12"/>
        <v>-5.1503807491005427</v>
      </c>
      <c r="J123" s="1">
        <f t="shared" si="13"/>
        <v>8.5716730070211238</v>
      </c>
    </row>
    <row r="124" spans="3:10">
      <c r="C124">
        <v>122</v>
      </c>
      <c r="D124" s="1">
        <f t="shared" si="7"/>
        <v>2.1293016874330819</v>
      </c>
      <c r="E124" s="1">
        <f t="shared" si="8"/>
        <v>-8.3153263722660693</v>
      </c>
      <c r="F124" s="2">
        <f t="shared" si="9"/>
        <v>9.7607537722415962</v>
      </c>
      <c r="G124" s="1">
        <f t="shared" si="10"/>
        <v>-5.4706770645169538</v>
      </c>
      <c r="H124" s="1">
        <f t="shared" si="11"/>
        <v>5.2083632620379632</v>
      </c>
      <c r="I124" s="1">
        <f t="shared" si="12"/>
        <v>-5.2991926423320477</v>
      </c>
      <c r="J124" s="1">
        <f t="shared" si="13"/>
        <v>8.4804809615642611</v>
      </c>
    </row>
    <row r="125" spans="3:10">
      <c r="C125">
        <v>123</v>
      </c>
      <c r="D125" s="1">
        <f t="shared" si="7"/>
        <v>2.1467549799530254</v>
      </c>
      <c r="E125" s="1">
        <f t="shared" si="8"/>
        <v>-8.4377814527706327</v>
      </c>
      <c r="F125" s="2">
        <f t="shared" si="9"/>
        <v>9.4460128265951901</v>
      </c>
      <c r="G125" s="1">
        <f t="shared" si="10"/>
        <v>-5.695373492837934</v>
      </c>
      <c r="H125" s="1">
        <f t="shared" si="11"/>
        <v>5.2230748926086035</v>
      </c>
      <c r="I125" s="1">
        <f t="shared" si="12"/>
        <v>-5.4463903501502706</v>
      </c>
      <c r="J125" s="1">
        <f t="shared" si="13"/>
        <v>8.3867056794542396</v>
      </c>
    </row>
    <row r="126" spans="3:10">
      <c r="C126">
        <v>124</v>
      </c>
      <c r="D126" s="1">
        <f t="shared" si="7"/>
        <v>2.1642082724729685</v>
      </c>
      <c r="E126" s="1">
        <f t="shared" si="8"/>
        <v>-8.537405756934163</v>
      </c>
      <c r="F126" s="2">
        <f t="shared" si="9"/>
        <v>9.1349775845089045</v>
      </c>
      <c r="G126" s="1">
        <f t="shared" si="10"/>
        <v>-5.9122228284432747</v>
      </c>
      <c r="H126" s="1">
        <f t="shared" si="11"/>
        <v>5.2429838395223385</v>
      </c>
      <c r="I126" s="1">
        <f t="shared" si="12"/>
        <v>-5.5919290347074666</v>
      </c>
      <c r="J126" s="1">
        <f t="shared" si="13"/>
        <v>8.2903757255504171</v>
      </c>
    </row>
    <row r="127" spans="3:10">
      <c r="C127">
        <v>125</v>
      </c>
      <c r="D127" s="1">
        <f t="shared" si="7"/>
        <v>2.1816615649929121</v>
      </c>
      <c r="E127" s="1">
        <f t="shared" si="8"/>
        <v>-8.6149680437814311</v>
      </c>
      <c r="F127" s="2">
        <f t="shared" si="9"/>
        <v>8.8298245314678976</v>
      </c>
      <c r="G127" s="1">
        <f t="shared" si="10"/>
        <v>-6.120700377046326</v>
      </c>
      <c r="H127" s="1">
        <f t="shared" si="11"/>
        <v>5.2676411349388559</v>
      </c>
      <c r="I127" s="1">
        <f t="shared" si="12"/>
        <v>-5.7357643635104614</v>
      </c>
      <c r="J127" s="1">
        <f t="shared" si="13"/>
        <v>8.1915204428899173</v>
      </c>
    </row>
    <row r="128" spans="3:10">
      <c r="C128">
        <v>126</v>
      </c>
      <c r="D128" s="1">
        <f t="shared" si="7"/>
        <v>2.1991148575128552</v>
      </c>
      <c r="E128" s="1">
        <f t="shared" si="8"/>
        <v>-8.6714570162595717</v>
      </c>
      <c r="F128" s="2">
        <f t="shared" si="9"/>
        <v>8.5326334279144245</v>
      </c>
      <c r="G128" s="1">
        <f t="shared" si="10"/>
        <v>-6.3203160070896782</v>
      </c>
      <c r="H128" s="1">
        <f t="shared" si="11"/>
        <v>5.2965654504146329</v>
      </c>
      <c r="I128" s="1">
        <f t="shared" si="12"/>
        <v>-5.87785252292473</v>
      </c>
      <c r="J128" s="1">
        <f t="shared" si="13"/>
        <v>8.0901699437494745</v>
      </c>
    </row>
    <row r="129" spans="3:10">
      <c r="C129">
        <v>127</v>
      </c>
      <c r="D129" s="1">
        <f t="shared" si="7"/>
        <v>2.2165681500327987</v>
      </c>
      <c r="E129" s="1">
        <f t="shared" si="8"/>
        <v>-8.7080699287793681</v>
      </c>
      <c r="F129" s="2">
        <f t="shared" si="9"/>
        <v>8.2453649078497957</v>
      </c>
      <c r="G129" s="1">
        <f t="shared" si="10"/>
        <v>-6.5106163775292396</v>
      </c>
      <c r="H129" s="1">
        <f t="shared" si="11"/>
        <v>5.3292455519119333</v>
      </c>
      <c r="I129" s="1">
        <f t="shared" si="12"/>
        <v>-6.018150231520484</v>
      </c>
      <c r="J129" s="1">
        <f t="shared" si="13"/>
        <v>7.9863551004729274</v>
      </c>
    </row>
    <row r="130" spans="3:10">
      <c r="C130">
        <v>128</v>
      </c>
      <c r="D130" s="1">
        <f t="shared" si="7"/>
        <v>2.2340214425527418</v>
      </c>
      <c r="E130" s="1">
        <f t="shared" si="8"/>
        <v>-8.7261989166256146</v>
      </c>
      <c r="F130" s="2">
        <f t="shared" si="9"/>
        <v>7.9698393923258752</v>
      </c>
      <c r="G130" s="1">
        <f t="shared" si="10"/>
        <v>-6.6911869883231203</v>
      </c>
      <c r="H130" s="1">
        <f t="shared" si="11"/>
        <v>5.3651429032819946</v>
      </c>
      <c r="I130" s="1">
        <f t="shared" si="12"/>
        <v>-6.1566147532565827</v>
      </c>
      <c r="J130" s="1">
        <f t="shared" si="13"/>
        <v>7.8801075360672197</v>
      </c>
    </row>
    <row r="131" spans="3:10">
      <c r="C131">
        <v>129</v>
      </c>
      <c r="D131" s="1">
        <f t="shared" ref="D131:D194" si="14">RADIANS(C131)</f>
        <v>2.2514747350726849</v>
      </c>
      <c r="E131" s="1">
        <f t="shared" ref="E131:E194" si="15">($B$1+$B$2)*COS(D131) - $B$3*COS((($B$1+$B$2)/$B$2)*D131)</f>
        <v>-8.7274151971829976</v>
      </c>
      <c r="F131" s="2">
        <f t="shared" ref="F131:F194" si="16">($B$1+$B$2)*SIN(D131) - $B$3*SIN((($B$1+$B$2)/$B$2)*D131)</f>
        <v>7.7077175487337604</v>
      </c>
      <c r="G131" s="1">
        <f t="shared" ref="G131:G194" si="17">($B$1-$B$2)*COS(D131) + $B$3*COS((($B$1-$B$2)/$B$2)*D131)</f>
        <v>-6.8616540436838989</v>
      </c>
      <c r="H131" s="1">
        <f t="shared" ref="H131:H194" si="18">($B$1-$B$2)*SIN(D131) - $B$3*SIN((($B$1-$B$2)/$B$2)*D131)</f>
        <v>5.403694405504166</v>
      </c>
      <c r="I131" s="1">
        <f t="shared" ref="I131:I194" si="19">$B$1*COS(D131)</f>
        <v>-6.2932039104983728</v>
      </c>
      <c r="J131" s="1">
        <f t="shared" ref="J131:J194" si="20">$B$1*SIN(D131)</f>
        <v>7.7714596145697099</v>
      </c>
    </row>
    <row r="132" spans="3:10">
      <c r="C132">
        <v>130</v>
      </c>
      <c r="D132" s="1">
        <f t="shared" si="14"/>
        <v>2.2689280275926285</v>
      </c>
      <c r="E132" s="1">
        <f t="shared" si="15"/>
        <v>-8.7134513162384728</v>
      </c>
      <c r="F132" s="2">
        <f t="shared" si="16"/>
        <v>7.460482509858859</v>
      </c>
      <c r="G132" s="1">
        <f t="shared" si="17"/>
        <v>-7.0216861190641318</v>
      </c>
      <c r="H132" s="1">
        <f t="shared" si="18"/>
        <v>5.4443152583004863</v>
      </c>
      <c r="I132" s="1">
        <f t="shared" si="19"/>
        <v>-6.4278760968653934</v>
      </c>
      <c r="J132" s="1">
        <f t="shared" si="20"/>
        <v>7.6604444311897799</v>
      </c>
    </row>
    <row r="133" spans="3:10">
      <c r="C133">
        <v>131</v>
      </c>
      <c r="D133" s="1">
        <f t="shared" si="14"/>
        <v>2.2863813201125716</v>
      </c>
      <c r="E133" s="1">
        <f t="shared" si="15"/>
        <v>-8.6861816340376876</v>
      </c>
      <c r="F133" s="2">
        <f t="shared" si="16"/>
        <v>7.2294240473880649</v>
      </c>
      <c r="G133" s="1">
        <f t="shared" si="17"/>
        <v>-7.1709956238006942</v>
      </c>
      <c r="H133" s="1">
        <f t="shared" si="18"/>
        <v>5.486401930148177</v>
      </c>
      <c r="I133" s="1">
        <f t="shared" si="19"/>
        <v>-6.5605902899050719</v>
      </c>
      <c r="J133" s="1">
        <f t="shared" si="20"/>
        <v>7.5470958022277213</v>
      </c>
    </row>
    <row r="134" spans="3:10">
      <c r="C134">
        <v>132</v>
      </c>
      <c r="D134" s="1">
        <f t="shared" si="14"/>
        <v>2.3038346126325151</v>
      </c>
      <c r="E134" s="1">
        <f t="shared" si="15"/>
        <v>-8.6476012650561955</v>
      </c>
      <c r="F134" s="2">
        <f t="shared" si="16"/>
        <v>7.0156248731384245</v>
      </c>
      <c r="G134" s="1">
        <f t="shared" si="17"/>
        <v>-7.3093400523384773</v>
      </c>
      <c r="H134" s="1">
        <f t="shared" si="18"/>
        <v>5.5293352221836356</v>
      </c>
      <c r="I134" s="1">
        <f t="shared" si="19"/>
        <v>-6.6913060635885824</v>
      </c>
      <c r="J134" s="1">
        <f t="shared" si="20"/>
        <v>7.431448254773942</v>
      </c>
    </row>
    <row r="135" spans="3:10">
      <c r="C135">
        <v>133</v>
      </c>
      <c r="D135" s="1">
        <f t="shared" si="14"/>
        <v>2.3212879051524582</v>
      </c>
      <c r="E135" s="1">
        <f t="shared" si="15"/>
        <v>-8.5998037023855005</v>
      </c>
      <c r="F135" s="2">
        <f t="shared" si="16"/>
        <v>6.819949217962435</v>
      </c>
      <c r="G135" s="1">
        <f t="shared" si="17"/>
        <v>-7.4365230179831272</v>
      </c>
      <c r="H135" s="1">
        <f t="shared" si="18"/>
        <v>5.5724834110332324</v>
      </c>
      <c r="I135" s="1">
        <f t="shared" si="19"/>
        <v>-6.8199836006249832</v>
      </c>
      <c r="J135" s="1">
        <f t="shared" si="20"/>
        <v>7.3135370161917059</v>
      </c>
    </row>
    <row r="136" spans="3:10">
      <c r="C136">
        <v>134</v>
      </c>
      <c r="D136" s="1">
        <f t="shared" si="14"/>
        <v>2.3387411976724017</v>
      </c>
      <c r="E136" s="1">
        <f t="shared" si="15"/>
        <v>-8.5449573720432745</v>
      </c>
      <c r="F136" s="2">
        <f t="shared" si="16"/>
        <v>6.6430338133272659</v>
      </c>
      <c r="G136" s="1">
        <f t="shared" si="17"/>
        <v>-7.5523950641916278</v>
      </c>
      <c r="H136" s="1">
        <f t="shared" si="18"/>
        <v>5.6152054552209592</v>
      </c>
      <c r="I136" s="1">
        <f t="shared" si="19"/>
        <v>-6.9465837045899734</v>
      </c>
      <c r="J136" s="1">
        <f t="shared" si="20"/>
        <v>7.1933980033865108</v>
      </c>
    </row>
    <row r="137" spans="3:10">
      <c r="C137">
        <v>135</v>
      </c>
      <c r="D137" s="1">
        <f t="shared" si="14"/>
        <v>2.3561944901923448</v>
      </c>
      <c r="E137" s="1">
        <f t="shared" si="15"/>
        <v>-8.4852813742385713</v>
      </c>
      <c r="F137" s="2">
        <f t="shared" si="16"/>
        <v>6.4852813742385713</v>
      </c>
      <c r="G137" s="1">
        <f t="shared" si="17"/>
        <v>-7.6568542494923797</v>
      </c>
      <c r="H137" s="1">
        <f t="shared" si="18"/>
        <v>5.6568542494923797</v>
      </c>
      <c r="I137" s="1">
        <f t="shared" si="19"/>
        <v>-7.0710678118654746</v>
      </c>
      <c r="J137" s="1">
        <f t="shared" si="20"/>
        <v>7.0710678118654755</v>
      </c>
    </row>
    <row r="138" spans="3:10">
      <c r="C138">
        <v>136</v>
      </c>
      <c r="D138" s="1">
        <f t="shared" si="14"/>
        <v>2.3736477827122884</v>
      </c>
      <c r="E138" s="1">
        <f t="shared" si="15"/>
        <v>-8.4230206775285037</v>
      </c>
      <c r="F138" s="2">
        <f t="shared" si="16"/>
        <v>6.3468566547714191</v>
      </c>
      <c r="G138" s="1">
        <f t="shared" si="17"/>
        <v>-7.7498465032288575</v>
      </c>
      <c r="H138" s="1">
        <f t="shared" si="18"/>
        <v>5.6967799111602293</v>
      </c>
      <c r="I138" s="1">
        <f t="shared" si="19"/>
        <v>-7.1933980033865117</v>
      </c>
      <c r="J138" s="1">
        <f t="shared" si="20"/>
        <v>6.9465837045899717</v>
      </c>
    </row>
    <row r="139" spans="3:10">
      <c r="C139">
        <v>137</v>
      </c>
      <c r="D139" s="1">
        <f t="shared" si="14"/>
        <v>2.3911010752322315</v>
      </c>
      <c r="E139" s="1">
        <f t="shared" si="15"/>
        <v>-8.3604210377945307</v>
      </c>
      <c r="F139" s="2">
        <f t="shared" si="16"/>
        <v>6.2276851192823717</v>
      </c>
      <c r="G139" s="1">
        <f t="shared" si="17"/>
        <v>-7.831365750436504</v>
      </c>
      <c r="H139" s="1">
        <f t="shared" si="18"/>
        <v>5.7343330824201191</v>
      </c>
      <c r="I139" s="1">
        <f t="shared" si="19"/>
        <v>-7.3135370161917042</v>
      </c>
      <c r="J139" s="1">
        <f t="shared" si="20"/>
        <v>6.8199836006249859</v>
      </c>
    </row>
    <row r="140" spans="3:10">
      <c r="C140">
        <v>138</v>
      </c>
      <c r="D140" s="1">
        <f t="shared" si="14"/>
        <v>2.4085543677521746</v>
      </c>
      <c r="E140" s="1">
        <f t="shared" si="15"/>
        <v>-8.2997039169788351</v>
      </c>
      <c r="F140" s="2">
        <f t="shared" si="16"/>
        <v>6.1274542437159933</v>
      </c>
      <c r="G140" s="1">
        <f t="shared" si="17"/>
        <v>-7.9014538052867636</v>
      </c>
      <c r="H140" s="1">
        <f t="shared" si="18"/>
        <v>5.7688682325063834</v>
      </c>
      <c r="I140" s="1">
        <f t="shared" si="19"/>
        <v>-7.4314482547739402</v>
      </c>
      <c r="J140" s="1">
        <f t="shared" si="20"/>
        <v>6.6913060635885833</v>
      </c>
    </row>
    <row r="141" spans="3:10">
      <c r="C141">
        <v>139</v>
      </c>
      <c r="D141" s="1">
        <f t="shared" si="14"/>
        <v>2.4260076602721181</v>
      </c>
      <c r="E141" s="1">
        <f t="shared" si="15"/>
        <v>-8.2430416765216634</v>
      </c>
      <c r="F141" s="2">
        <f t="shared" si="16"/>
        <v>6.0456174326008858</v>
      </c>
      <c r="G141" s="1">
        <f t="shared" si="17"/>
        <v>-7.9602000336588139</v>
      </c>
      <c r="H141" s="1">
        <f t="shared" si="18"/>
        <v>5.7997469435580564</v>
      </c>
      <c r="I141" s="1">
        <f t="shared" si="19"/>
        <v>-7.5470958022277204</v>
      </c>
      <c r="J141" s="1">
        <f t="shared" si="20"/>
        <v>6.5605902899050728</v>
      </c>
    </row>
    <row r="142" spans="3:10">
      <c r="C142">
        <v>140</v>
      </c>
      <c r="D142" s="1">
        <f t="shared" si="14"/>
        <v>2.4434609527920612</v>
      </c>
      <c r="E142" s="1">
        <f t="shared" si="15"/>
        <v>-8.1925333174277366</v>
      </c>
      <c r="F142" s="2">
        <f t="shared" si="16"/>
        <v>5.9814005086695952</v>
      </c>
      <c r="G142" s="1">
        <f t="shared" si="17"/>
        <v>-8.007740786523641</v>
      </c>
      <c r="H142" s="1">
        <f t="shared" si="18"/>
        <v>5.8263411641436518</v>
      </c>
      <c r="I142" s="1">
        <f t="shared" si="19"/>
        <v>-7.660444431189779</v>
      </c>
      <c r="J142" s="1">
        <f t="shared" si="20"/>
        <v>6.4278760968653952</v>
      </c>
    </row>
    <row r="143" spans="3:10">
      <c r="C143">
        <v>141</v>
      </c>
      <c r="D143" s="1">
        <f t="shared" si="14"/>
        <v>2.4609142453120048</v>
      </c>
      <c r="E143" s="1">
        <f t="shared" si="15"/>
        <v>-8.1501810328987023</v>
      </c>
      <c r="F143" s="2">
        <f t="shared" si="16"/>
        <v>5.933810703848156</v>
      </c>
      <c r="G143" s="1">
        <f t="shared" si="17"/>
        <v>-8.0442586069409678</v>
      </c>
      <c r="H143" s="1">
        <f t="shared" si="18"/>
        <v>5.8480364145503003</v>
      </c>
      <c r="I143" s="1">
        <f t="shared" si="19"/>
        <v>-7.771459614569709</v>
      </c>
      <c r="J143" s="1">
        <f t="shared" si="20"/>
        <v>6.2932039104983737</v>
      </c>
    </row>
    <row r="144" spans="3:10">
      <c r="C144">
        <v>142</v>
      </c>
      <c r="D144" s="1">
        <f t="shared" si="14"/>
        <v>2.4783675378319479</v>
      </c>
      <c r="E144" s="1">
        <f t="shared" si="15"/>
        <v>-8.1178678305629504</v>
      </c>
      <c r="F144" s="2">
        <f t="shared" si="16"/>
        <v>5.9016480529531101</v>
      </c>
      <c r="G144" s="1">
        <f t="shared" si="17"/>
        <v>-8.0699812145716301</v>
      </c>
      <c r="H144" s="1">
        <f t="shared" si="18"/>
        <v>5.8642349281770478</v>
      </c>
      <c r="I144" s="1">
        <f t="shared" si="19"/>
        <v>-7.8801075360672188</v>
      </c>
      <c r="J144" s="1">
        <f t="shared" si="20"/>
        <v>6.1566147532565836</v>
      </c>
    </row>
    <row r="145" spans="3:10">
      <c r="C145">
        <v>143</v>
      </c>
      <c r="D145" s="1">
        <f t="shared" si="14"/>
        <v>2.4958208303518914</v>
      </c>
      <c r="E145" s="1">
        <f t="shared" si="15"/>
        <v>-8.0973364696127259</v>
      </c>
      <c r="F145" s="2">
        <f t="shared" si="16"/>
        <v>5.8835190651068627</v>
      </c>
      <c r="G145" s="1">
        <f t="shared" si="17"/>
        <v>-8.0851802726911952</v>
      </c>
      <c r="H145" s="1">
        <f t="shared" si="18"/>
        <v>5.8743587136827955</v>
      </c>
      <c r="I145" s="1">
        <f t="shared" si="19"/>
        <v>-7.9863551004729292</v>
      </c>
      <c r="J145" s="1">
        <f t="shared" si="20"/>
        <v>6.0181502315204813</v>
      </c>
    </row>
    <row r="146" spans="3:10">
      <c r="C146">
        <v>144</v>
      </c>
      <c r="D146" s="1">
        <f t="shared" si="14"/>
        <v>2.5132741228718345</v>
      </c>
      <c r="E146" s="1">
        <f t="shared" si="15"/>
        <v>-8.0901699437494727</v>
      </c>
      <c r="F146" s="2">
        <f t="shared" si="16"/>
        <v>5.8778525229247318</v>
      </c>
      <c r="G146" s="1">
        <f t="shared" si="17"/>
        <v>-8.0901699437494745</v>
      </c>
      <c r="H146" s="1">
        <f t="shared" si="18"/>
        <v>5.8778525229247318</v>
      </c>
      <c r="I146" s="1">
        <f t="shared" si="19"/>
        <v>-8.0901699437494727</v>
      </c>
      <c r="J146" s="1">
        <f t="shared" si="20"/>
        <v>5.8778525229247327</v>
      </c>
    </row>
    <row r="147" spans="3:10">
      <c r="C147">
        <v>145</v>
      </c>
      <c r="D147" s="1">
        <f t="shared" si="14"/>
        <v>2.530727415391778</v>
      </c>
      <c r="E147" s="1">
        <f t="shared" si="15"/>
        <v>-8.0977737238990262</v>
      </c>
      <c r="F147" s="2">
        <f t="shared" si="16"/>
        <v>5.8829172362125508</v>
      </c>
      <c r="G147" s="1">
        <f t="shared" si="17"/>
        <v>-8.0853052405498911</v>
      </c>
      <c r="H147" s="1">
        <f t="shared" si="18"/>
        <v>5.8741867101814469</v>
      </c>
      <c r="I147" s="1">
        <f t="shared" si="19"/>
        <v>-8.1915204428899191</v>
      </c>
      <c r="J147" s="1">
        <f t="shared" si="20"/>
        <v>5.7357643635104596</v>
      </c>
    </row>
    <row r="148" spans="3:10">
      <c r="C148">
        <v>146</v>
      </c>
      <c r="D148" s="1">
        <f t="shared" si="14"/>
        <v>2.5481807079117211</v>
      </c>
      <c r="E148" s="1">
        <f t="shared" si="15"/>
        <v>-8.1213599553752971</v>
      </c>
      <c r="F148" s="2">
        <f t="shared" si="16"/>
        <v>5.896841555497363</v>
      </c>
      <c r="G148" s="1">
        <f t="shared" si="17"/>
        <v>-8.0709801811176352</v>
      </c>
      <c r="H148" s="1">
        <f t="shared" si="18"/>
        <v>5.8628599686839697</v>
      </c>
      <c r="I148" s="1">
        <f t="shared" si="19"/>
        <v>-8.2903757255504154</v>
      </c>
      <c r="J148" s="1">
        <f t="shared" si="20"/>
        <v>5.5919290347074693</v>
      </c>
    </row>
    <row r="149" spans="3:10">
      <c r="C149">
        <v>147</v>
      </c>
      <c r="D149" s="1">
        <f t="shared" si="14"/>
        <v>2.5656340004316642</v>
      </c>
      <c r="E149" s="1">
        <f t="shared" si="15"/>
        <v>-8.1619337827547813</v>
      </c>
      <c r="F149" s="2">
        <f t="shared" si="16"/>
        <v>5.9176344314304279</v>
      </c>
      <c r="G149" s="1">
        <f t="shared" si="17"/>
        <v>-8.0476257562811089</v>
      </c>
      <c r="H149" s="1">
        <f t="shared" si="18"/>
        <v>5.8434019310750056</v>
      </c>
      <c r="I149" s="1">
        <f t="shared" si="19"/>
        <v>-8.3867056794542396</v>
      </c>
      <c r="J149" s="1">
        <f t="shared" si="20"/>
        <v>5.4463903501502733</v>
      </c>
    </row>
    <row r="150" spans="3:10">
      <c r="C150">
        <v>148</v>
      </c>
      <c r="D150" s="1">
        <f t="shared" si="14"/>
        <v>2.5830872929516078</v>
      </c>
      <c r="E150" s="1">
        <f t="shared" si="15"/>
        <v>-8.2202819524095005</v>
      </c>
      <c r="F150" s="2">
        <f t="shared" si="16"/>
        <v>5.9432077891629405</v>
      </c>
      <c r="G150" s="1">
        <f t="shared" si="17"/>
        <v>-8.0157077199027249</v>
      </c>
      <c r="H150" s="1">
        <f t="shared" si="18"/>
        <v>5.8153756210790828</v>
      </c>
      <c r="I150" s="1">
        <f t="shared" si="19"/>
        <v>-8.4804809615642593</v>
      </c>
      <c r="J150" s="1">
        <f t="shared" si="20"/>
        <v>5.2991926423320486</v>
      </c>
    </row>
    <row r="151" spans="3:10">
      <c r="C151">
        <v>149</v>
      </c>
      <c r="D151" s="1">
        <f t="shared" si="14"/>
        <v>2.6005405854715509</v>
      </c>
      <c r="E151" s="1">
        <f t="shared" si="15"/>
        <v>-8.2969638176888001</v>
      </c>
      <c r="F151" s="2">
        <f t="shared" si="16"/>
        <v>5.9713999723853437</v>
      </c>
      <c r="G151" s="1">
        <f t="shared" si="17"/>
        <v>-7.9757242125583927</v>
      </c>
      <c r="H151" s="1">
        <f t="shared" si="18"/>
        <v>5.7783797443905174</v>
      </c>
      <c r="I151" s="1">
        <f t="shared" si="19"/>
        <v>-8.571673007021122</v>
      </c>
      <c r="J151" s="1">
        <f t="shared" si="20"/>
        <v>5.1503807491005436</v>
      </c>
    </row>
    <row r="152" spans="3:10">
      <c r="C152">
        <v>150</v>
      </c>
      <c r="D152" s="1">
        <f t="shared" si="14"/>
        <v>2.6179938779914944</v>
      </c>
      <c r="E152" s="1">
        <f t="shared" si="15"/>
        <v>-8.392304845413264</v>
      </c>
      <c r="F152" s="2">
        <f t="shared" si="16"/>
        <v>5.9999999999999982</v>
      </c>
      <c r="G152" s="1">
        <f t="shared" si="17"/>
        <v>-7.9282032302755097</v>
      </c>
      <c r="H152" s="1">
        <f t="shared" si="18"/>
        <v>5.7320508075688767</v>
      </c>
      <c r="I152" s="1">
        <f t="shared" si="19"/>
        <v>-8.6602540378443873</v>
      </c>
      <c r="J152" s="1">
        <f t="shared" si="20"/>
        <v>4.9999999999999991</v>
      </c>
    </row>
    <row r="153" spans="3:10">
      <c r="C153">
        <v>151</v>
      </c>
      <c r="D153" s="1">
        <f t="shared" si="14"/>
        <v>2.6354471705114375</v>
      </c>
      <c r="E153" s="1">
        <f t="shared" si="15"/>
        <v>-8.506392694936201</v>
      </c>
      <c r="F153" s="2">
        <f t="shared" si="16"/>
        <v>6.0267723694913524</v>
      </c>
      <c r="G153" s="1">
        <f t="shared" si="17"/>
        <v>-7.8736999506933216</v>
      </c>
      <c r="H153" s="1">
        <f t="shared" si="18"/>
        <v>5.6760650545690305</v>
      </c>
      <c r="I153" s="1">
        <f t="shared" si="19"/>
        <v>-8.7461970713939579</v>
      </c>
      <c r="J153" s="1">
        <f t="shared" si="20"/>
        <v>4.8480962024633714</v>
      </c>
    </row>
    <row r="154" spans="3:10">
      <c r="C154">
        <v>152</v>
      </c>
      <c r="D154" s="1">
        <f t="shared" si="14"/>
        <v>2.6529004630313811</v>
      </c>
      <c r="E154" s="1">
        <f t="shared" si="15"/>
        <v>-8.6390759128395125</v>
      </c>
      <c r="F154" s="2">
        <f t="shared" si="16"/>
        <v>6.0494821350662082</v>
      </c>
      <c r="G154" s="1">
        <f t="shared" si="17"/>
        <v>-7.8127939297032389</v>
      </c>
      <c r="H154" s="1">
        <f t="shared" si="18"/>
        <v>5.6101402114207009</v>
      </c>
      <c r="I154" s="1">
        <f t="shared" si="19"/>
        <v>-8.8294759285892699</v>
      </c>
      <c r="J154" s="1">
        <f t="shared" si="20"/>
        <v>4.6947156278589066</v>
      </c>
    </row>
    <row r="155" spans="3:10">
      <c r="C155">
        <v>153</v>
      </c>
      <c r="D155" s="1">
        <f t="shared" si="14"/>
        <v>2.6703537555513241</v>
      </c>
      <c r="E155" s="1">
        <f t="shared" si="15"/>
        <v>-8.7899652576701044</v>
      </c>
      <c r="F155" s="2">
        <f t="shared" si="16"/>
        <v>6.0659199856244532</v>
      </c>
      <c r="G155" s="1">
        <f t="shared" si="17"/>
        <v>-7.7460861822568381</v>
      </c>
      <c r="H155" s="1">
        <f t="shared" si="18"/>
        <v>5.5340370305066813</v>
      </c>
      <c r="I155" s="1">
        <f t="shared" si="19"/>
        <v>-8.9100652418836788</v>
      </c>
      <c r="J155" s="1">
        <f t="shared" si="20"/>
        <v>4.5399049973954684</v>
      </c>
    </row>
    <row r="156" spans="3:10">
      <c r="C156">
        <v>154</v>
      </c>
      <c r="D156" s="1">
        <f t="shared" si="14"/>
        <v>2.6878070480712677</v>
      </c>
      <c r="E156" s="1">
        <f t="shared" si="15"/>
        <v>-8.9584376403048047</v>
      </c>
      <c r="F156" s="2">
        <f t="shared" si="16"/>
        <v>6.0739270476205309</v>
      </c>
      <c r="G156" s="1">
        <f t="shared" si="17"/>
        <v>-7.674196161592671</v>
      </c>
      <c r="H156" s="1">
        <f t="shared" si="18"/>
        <v>5.4475606268646111</v>
      </c>
      <c r="I156" s="1">
        <f t="shared" si="19"/>
        <v>-8.9879404629916699</v>
      </c>
      <c r="J156" s="1">
        <f t="shared" si="20"/>
        <v>4.3837114678907732</v>
      </c>
    </row>
    <row r="157" spans="3:10">
      <c r="C157">
        <v>155</v>
      </c>
      <c r="D157" s="1">
        <f t="shared" si="14"/>
        <v>2.7052603405912108</v>
      </c>
      <c r="E157" s="1">
        <f t="shared" si="15"/>
        <v>-9.1436426368709203</v>
      </c>
      <c r="F157" s="2">
        <f t="shared" si="16"/>
        <v>6.0714191408883922</v>
      </c>
      <c r="G157" s="1">
        <f t="shared" si="17"/>
        <v>-7.5977586516270605</v>
      </c>
      <c r="H157" s="1">
        <f t="shared" si="18"/>
        <v>5.3505615999500122</v>
      </c>
      <c r="I157" s="1">
        <f t="shared" si="19"/>
        <v>-9.0630778703664987</v>
      </c>
      <c r="J157" s="1">
        <f t="shared" si="20"/>
        <v>4.2261826174069945</v>
      </c>
    </row>
    <row r="158" spans="3:10">
      <c r="C158">
        <v>156</v>
      </c>
      <c r="D158" s="1">
        <f t="shared" si="14"/>
        <v>2.7227136331111539</v>
      </c>
      <c r="E158" s="1">
        <f t="shared" si="15"/>
        <v>-9.3445115029613142</v>
      </c>
      <c r="F158" s="2">
        <f t="shared" si="16"/>
        <v>6.0564102214945503</v>
      </c>
      <c r="G158" s="1">
        <f t="shared" si="17"/>
        <v>-7.5174205876761153</v>
      </c>
      <c r="H158" s="1">
        <f t="shared" si="18"/>
        <v>5.24293693534295</v>
      </c>
      <c r="I158" s="1">
        <f t="shared" si="19"/>
        <v>-9.1354545764260067</v>
      </c>
      <c r="J158" s="1">
        <f t="shared" si="20"/>
        <v>4.0673664307580042</v>
      </c>
    </row>
    <row r="159" spans="3:10">
      <c r="C159">
        <v>157</v>
      </c>
      <c r="D159" s="1">
        <f t="shared" si="14"/>
        <v>2.7401669256310974</v>
      </c>
      <c r="E159" s="1">
        <f t="shared" si="15"/>
        <v>-9.559768590474496</v>
      </c>
      <c r="F159" s="2">
        <f t="shared" si="16"/>
        <v>6.0270347545890015</v>
      </c>
      <c r="G159" s="1">
        <f t="shared" si="17"/>
        <v>-7.4338378210245253</v>
      </c>
      <c r="H159" s="1">
        <f t="shared" si="18"/>
        <v>5.1246306819523815</v>
      </c>
      <c r="I159" s="1">
        <f t="shared" si="19"/>
        <v>-9.2050485345244031</v>
      </c>
      <c r="J159" s="1">
        <f t="shared" si="20"/>
        <v>3.9073112848927378</v>
      </c>
    </row>
    <row r="160" spans="3:10">
      <c r="C160">
        <v>158</v>
      </c>
      <c r="D160" s="1">
        <f t="shared" si="14"/>
        <v>2.7576202181510405</v>
      </c>
      <c r="E160" s="1">
        <f t="shared" si="15"/>
        <v>-9.7879450420837308</v>
      </c>
      <c r="F160" s="2">
        <f t="shared" si="16"/>
        <v>5.981568771945736</v>
      </c>
      <c r="G160" s="1">
        <f t="shared" si="17"/>
        <v>-7.347671843129298</v>
      </c>
      <c r="H160" s="1">
        <f t="shared" si="18"/>
        <v>4.9956344013654892</v>
      </c>
      <c r="I160" s="1">
        <f t="shared" si="19"/>
        <v>-9.2718385456678725</v>
      </c>
      <c r="J160" s="1">
        <f t="shared" si="20"/>
        <v>3.7460659341591223</v>
      </c>
    </row>
    <row r="161" spans="3:10">
      <c r="C161">
        <v>159</v>
      </c>
      <c r="D161" s="1">
        <f t="shared" si="14"/>
        <v>2.7750735106709841</v>
      </c>
      <c r="E161" s="1">
        <f t="shared" si="15"/>
        <v>-10.027394613381476</v>
      </c>
      <c r="F161" s="2">
        <f t="shared" si="16"/>
        <v>5.918449383293499</v>
      </c>
      <c r="G161" s="1">
        <f t="shared" si="17"/>
        <v>-7.2595864854423064</v>
      </c>
      <c r="H161" s="1">
        <f t="shared" si="18"/>
        <v>4.8559873870989483</v>
      </c>
      <c r="I161" s="1">
        <f t="shared" si="19"/>
        <v>-9.3358042649720172</v>
      </c>
      <c r="J161" s="1">
        <f t="shared" si="20"/>
        <v>3.5836794954530022</v>
      </c>
    </row>
    <row r="162" spans="3:10">
      <c r="C162">
        <v>160</v>
      </c>
      <c r="D162" s="1">
        <f t="shared" si="14"/>
        <v>2.7925268031909272</v>
      </c>
      <c r="E162" s="1">
        <f t="shared" si="15"/>
        <v>-10.276311449430896</v>
      </c>
      <c r="F162" s="2">
        <f t="shared" si="16"/>
        <v>5.8362925274769015</v>
      </c>
      <c r="G162" s="1">
        <f t="shared" si="17"/>
        <v>-7.1702446109534073</v>
      </c>
      <c r="H162" s="1">
        <f t="shared" si="18"/>
        <v>4.7057766526297673</v>
      </c>
      <c r="I162" s="1">
        <f t="shared" si="19"/>
        <v>-9.3969262078590834</v>
      </c>
      <c r="J162" s="1">
        <f t="shared" si="20"/>
        <v>3.4202014332566888</v>
      </c>
    </row>
    <row r="163" spans="3:10">
      <c r="C163">
        <v>161</v>
      </c>
      <c r="D163" s="1">
        <f t="shared" si="14"/>
        <v>2.8099800957108707</v>
      </c>
      <c r="E163" s="1">
        <f t="shared" si="15"/>
        <v>-10.532749621040205</v>
      </c>
      <c r="F163" s="2">
        <f t="shared" si="16"/>
        <v>5.7339087687710828</v>
      </c>
      <c r="G163" s="1">
        <f t="shared" si="17"/>
        <v>-7.0803048135951983</v>
      </c>
      <c r="H163" s="1">
        <f t="shared" si="18"/>
        <v>4.5451366882092454</v>
      </c>
      <c r="I163" s="1">
        <f t="shared" si="19"/>
        <v>-9.4551857559931687</v>
      </c>
      <c r="J163" s="1">
        <f t="shared" si="20"/>
        <v>3.2556815445715657</v>
      </c>
    </row>
    <row r="164" spans="3:10">
      <c r="C164">
        <v>162</v>
      </c>
      <c r="D164" s="1">
        <f t="shared" si="14"/>
        <v>2.8274333882308138</v>
      </c>
      <c r="E164" s="1">
        <f t="shared" si="15"/>
        <v>-10.794644206791945</v>
      </c>
      <c r="F164" s="2">
        <f t="shared" si="16"/>
        <v>5.6103169650896767</v>
      </c>
      <c r="G164" s="1">
        <f t="shared" si="17"/>
        <v>-6.9904181416113342</v>
      </c>
      <c r="H164" s="1">
        <f t="shared" si="18"/>
        <v>4.3742489875898878</v>
      </c>
      <c r="I164" s="1">
        <f t="shared" si="19"/>
        <v>-9.5105651629515346</v>
      </c>
      <c r="J164" s="1">
        <f t="shared" si="20"/>
        <v>3.090169943749475</v>
      </c>
    </row>
    <row r="165" spans="3:10">
      <c r="C165">
        <v>163</v>
      </c>
      <c r="D165" s="1">
        <f t="shared" si="14"/>
        <v>2.8448866807507573</v>
      </c>
      <c r="E165" s="1">
        <f t="shared" si="15"/>
        <v>-11.059833689920907</v>
      </c>
      <c r="F165" s="2">
        <f t="shared" si="16"/>
        <v>5.4647556581404508</v>
      </c>
      <c r="G165" s="1">
        <f t="shared" si="17"/>
        <v>-6.9012248608724596</v>
      </c>
      <c r="H165" s="1">
        <f t="shared" si="18"/>
        <v>4.1933413469154672</v>
      </c>
      <c r="I165" s="1">
        <f t="shared" si="19"/>
        <v>-9.5630475596303555</v>
      </c>
      <c r="J165" s="1">
        <f t="shared" si="20"/>
        <v>2.9237170472273659</v>
      </c>
    </row>
    <row r="166" spans="3:10">
      <c r="C166">
        <v>164</v>
      </c>
      <c r="D166" s="1">
        <f t="shared" si="14"/>
        <v>2.8623399732707004</v>
      </c>
      <c r="E166" s="1">
        <f t="shared" si="15"/>
        <v>-11.326083424724521</v>
      </c>
      <c r="F166" s="2">
        <f t="shared" si="16"/>
        <v>5.2966920605405372</v>
      </c>
      <c r="G166" s="1">
        <f t="shared" si="17"/>
        <v>-6.8133512739283972</v>
      </c>
      <c r="H166" s="1">
        <f t="shared" si="18"/>
        <v>4.0026869391343283</v>
      </c>
      <c r="I166" s="1">
        <f t="shared" si="19"/>
        <v>-9.6126169593831889</v>
      </c>
      <c r="J166" s="1">
        <f t="shared" si="20"/>
        <v>2.756373558169992</v>
      </c>
    </row>
    <row r="167" spans="3:10">
      <c r="C167">
        <v>165</v>
      </c>
      <c r="D167" s="1">
        <f t="shared" si="14"/>
        <v>2.8797932657906435</v>
      </c>
      <c r="E167" s="1">
        <f t="shared" si="15"/>
        <v>-11.591109915468813</v>
      </c>
      <c r="F167" s="2">
        <f t="shared" si="16"/>
        <v>5.1058285412302524</v>
      </c>
      <c r="G167" s="1">
        <f t="shared" si="17"/>
        <v>-6.7274066103125474</v>
      </c>
      <c r="H167" s="1">
        <f t="shared" si="18"/>
        <v>3.8026031683890462</v>
      </c>
      <c r="I167" s="1">
        <f t="shared" si="19"/>
        <v>-9.6592582628906811</v>
      </c>
      <c r="J167" s="1">
        <f t="shared" si="20"/>
        <v>2.5881904510252101</v>
      </c>
    </row>
    <row r="168" spans="3:10">
      <c r="C168">
        <v>166</v>
      </c>
      <c r="D168" s="1">
        <f t="shared" si="14"/>
        <v>2.8972465583105871</v>
      </c>
      <c r="E168" s="1">
        <f t="shared" si="15"/>
        <v>-11.852605641847262</v>
      </c>
      <c r="F168" s="2">
        <f t="shared" si="16"/>
        <v>4.8921065379325599</v>
      </c>
      <c r="G168" s="1">
        <f t="shared" si="17"/>
        <v>-6.6439800032664778</v>
      </c>
      <c r="H168" s="1">
        <f t="shared" si="18"/>
        <v>3.5934503099074253</v>
      </c>
      <c r="I168" s="1">
        <f t="shared" si="19"/>
        <v>-9.7029572627599645</v>
      </c>
      <c r="J168" s="1">
        <f t="shared" si="20"/>
        <v>2.4192189559966772</v>
      </c>
    </row>
    <row r="169" spans="3:10">
      <c r="C169">
        <v>167</v>
      </c>
      <c r="D169" s="1">
        <f t="shared" si="14"/>
        <v>2.9146998508305302</v>
      </c>
      <c r="E169" s="1">
        <f t="shared" si="15"/>
        <v>-12.108264159058336</v>
      </c>
      <c r="F169" s="2">
        <f t="shared" si="16"/>
        <v>4.6557078535939942</v>
      </c>
      <c r="G169" s="1">
        <f t="shared" si="17"/>
        <v>-6.5636375676305656</v>
      </c>
      <c r="H169" s="1">
        <f t="shared" si="18"/>
        <v>3.3756299419643665</v>
      </c>
      <c r="I169" s="1">
        <f t="shared" si="19"/>
        <v>-9.7437006478523518</v>
      </c>
      <c r="J169" s="1">
        <f t="shared" si="20"/>
        <v>2.2495105434386522</v>
      </c>
    </row>
    <row r="170" spans="3:10">
      <c r="C170">
        <v>168</v>
      </c>
      <c r="D170" s="1">
        <f t="shared" si="14"/>
        <v>2.9321531433504737</v>
      </c>
      <c r="E170" s="1">
        <f t="shared" si="15"/>
        <v>-12.355805197555561</v>
      </c>
      <c r="F170" s="2">
        <f t="shared" si="16"/>
        <v>4.3970533224034192</v>
      </c>
      <c r="G170" s="1">
        <f t="shared" si="17"/>
        <v>-6.486919593152729</v>
      </c>
      <c r="H170" s="1">
        <f t="shared" si="18"/>
        <v>3.1495831774968628</v>
      </c>
      <c r="I170" s="1">
        <f t="shared" si="19"/>
        <v>-9.7814760073380569</v>
      </c>
      <c r="J170" s="1">
        <f t="shared" si="20"/>
        <v>2.0791169081775931</v>
      </c>
    </row>
    <row r="171" spans="3:10">
      <c r="C171">
        <v>169</v>
      </c>
      <c r="D171" s="1">
        <f t="shared" si="14"/>
        <v>2.9496064358704168</v>
      </c>
      <c r="E171" s="1">
        <f t="shared" si="15"/>
        <v>-12.592999487523569</v>
      </c>
      <c r="F171" s="2">
        <f t="shared" si="16"/>
        <v>4.1167988598037422</v>
      </c>
      <c r="G171" s="1">
        <f t="shared" si="17"/>
        <v>-6.4143378669040105</v>
      </c>
      <c r="H171" s="1">
        <f t="shared" si="18"/>
        <v>2.9157887039303554</v>
      </c>
      <c r="I171" s="1">
        <f t="shared" si="19"/>
        <v>-9.8162718344766393</v>
      </c>
      <c r="J171" s="1">
        <f t="shared" si="20"/>
        <v>1.9080899537654497</v>
      </c>
    </row>
    <row r="172" spans="3:10">
      <c r="C172">
        <v>170</v>
      </c>
      <c r="D172" s="1">
        <f t="shared" si="14"/>
        <v>2.9670597283903604</v>
      </c>
      <c r="E172" s="1">
        <f t="shared" si="15"/>
        <v>-12.817693036146498</v>
      </c>
      <c r="F172" s="2">
        <f t="shared" si="16"/>
        <v>3.8158289395720399</v>
      </c>
      <c r="G172" s="1">
        <f t="shared" si="17"/>
        <v>-6.3463731378597075</v>
      </c>
      <c r="H172" s="1">
        <f t="shared" si="18"/>
        <v>2.67476064070852</v>
      </c>
      <c r="I172" s="1">
        <f t="shared" si="19"/>
        <v>-9.8480775301220795</v>
      </c>
      <c r="J172" s="1">
        <f t="shared" si="20"/>
        <v>1.7364817766693028</v>
      </c>
    </row>
    <row r="173" spans="3:10">
      <c r="C173">
        <v>171</v>
      </c>
      <c r="D173" s="1">
        <f t="shared" si="14"/>
        <v>2.9845130209103035</v>
      </c>
      <c r="E173" s="1">
        <f t="shared" si="15"/>
        <v>-13.0278305917266</v>
      </c>
      <c r="F173" s="2">
        <f t="shared" si="16"/>
        <v>3.4952475692326654</v>
      </c>
      <c r="G173" s="1">
        <f t="shared" si="17"/>
        <v>-6.2834727360112073</v>
      </c>
      <c r="H173" s="1">
        <f t="shared" si="18"/>
        <v>2.4270462249067948</v>
      </c>
      <c r="I173" s="1">
        <f t="shared" si="19"/>
        <v>-9.8768834059513768</v>
      </c>
      <c r="J173" s="1">
        <f t="shared" si="20"/>
        <v>1.5643446504023097</v>
      </c>
    </row>
    <row r="174" spans="3:10">
      <c r="C174">
        <v>172</v>
      </c>
      <c r="D174" s="1">
        <f t="shared" si="14"/>
        <v>3.001966313430247</v>
      </c>
      <c r="E174" s="1">
        <f t="shared" si="15"/>
        <v>-13.221478037616563</v>
      </c>
      <c r="F174" s="2">
        <f t="shared" si="16"/>
        <v>3.1563668624755703</v>
      </c>
      <c r="G174" s="1">
        <f t="shared" si="17"/>
        <v>-6.2260483576197103</v>
      </c>
      <c r="H174" s="1">
        <f t="shared" si="18"/>
        <v>2.1732233361469318</v>
      </c>
      <c r="I174" s="1">
        <f t="shared" si="19"/>
        <v>-9.9026806874157032</v>
      </c>
      <c r="J174" s="1">
        <f t="shared" si="20"/>
        <v>1.3917310096006532</v>
      </c>
    </row>
    <row r="175" spans="3:10">
      <c r="C175">
        <v>173</v>
      </c>
      <c r="D175" s="1">
        <f t="shared" si="14"/>
        <v>3.0194196059501901</v>
      </c>
      <c r="E175" s="1">
        <f t="shared" si="15"/>
        <v>-13.39684347065065</v>
      </c>
      <c r="F175" s="2">
        <f t="shared" si="16"/>
        <v>2.8006933335794888</v>
      </c>
      <c r="G175" s="1">
        <f t="shared" si="17"/>
        <v>-6.1744740274127228</v>
      </c>
      <c r="H175" s="1">
        <f t="shared" si="18"/>
        <v>1.9138978728129623</v>
      </c>
      <c r="I175" s="1">
        <f t="shared" si="19"/>
        <v>-9.9254615164132201</v>
      </c>
      <c r="J175" s="1">
        <f t="shared" si="20"/>
        <v>1.2186934340514755</v>
      </c>
    </row>
    <row r="176" spans="3:10">
      <c r="C176">
        <v>174</v>
      </c>
      <c r="D176" s="1">
        <f t="shared" si="14"/>
        <v>3.0368728984701332</v>
      </c>
      <c r="E176" s="1">
        <f t="shared" si="15"/>
        <v>-13.552296733169172</v>
      </c>
      <c r="F176" s="2">
        <f t="shared" si="16"/>
        <v>2.4299120637967921</v>
      </c>
      <c r="G176" s="1">
        <f t="shared" si="17"/>
        <v>-6.1290842476609857</v>
      </c>
      <c r="H176" s="1">
        <f t="shared" si="18"/>
        <v>1.6497009922928323</v>
      </c>
      <c r="I176" s="1">
        <f t="shared" si="19"/>
        <v>-9.9452189536827333</v>
      </c>
      <c r="J176" s="1">
        <f t="shared" si="20"/>
        <v>1.0452846326765373</v>
      </c>
    </row>
    <row r="177" spans="3:10">
      <c r="C177">
        <v>175</v>
      </c>
      <c r="D177" s="1">
        <f t="shared" si="14"/>
        <v>3.0543261909900767</v>
      </c>
      <c r="E177" s="1">
        <f t="shared" si="15"/>
        <v>-13.686387184669824</v>
      </c>
      <c r="F177" s="2">
        <f t="shared" si="16"/>
        <v>2.0458689129718985</v>
      </c>
      <c r="G177" s="1">
        <f t="shared" si="17"/>
        <v>-6.0901723431621475</v>
      </c>
      <c r="H177" s="1">
        <f t="shared" si="18"/>
        <v>1.3812862286326033</v>
      </c>
      <c r="I177" s="1">
        <f t="shared" si="19"/>
        <v>-9.961946980917455</v>
      </c>
      <c r="J177" s="1">
        <f t="shared" si="20"/>
        <v>0.87155742747658194</v>
      </c>
    </row>
    <row r="178" spans="3:10">
      <c r="C178">
        <v>176</v>
      </c>
      <c r="D178" s="1">
        <f t="shared" si="14"/>
        <v>3.0717794835100198</v>
      </c>
      <c r="E178" s="1">
        <f t="shared" si="15"/>
        <v>-13.797859518403088</v>
      </c>
      <c r="F178" s="2">
        <f t="shared" si="16"/>
        <v>1.6505509710811124</v>
      </c>
      <c r="G178" s="1">
        <f t="shared" si="17"/>
        <v>-6.0579890102019558</v>
      </c>
      <c r="H178" s="1">
        <f t="shared" si="18"/>
        <v>1.1093265015870042</v>
      </c>
      <c r="I178" s="1">
        <f t="shared" si="19"/>
        <v>-9.9756405025982424</v>
      </c>
      <c r="J178" s="1">
        <f t="shared" si="20"/>
        <v>0.69756473744125524</v>
      </c>
    </row>
    <row r="179" spans="3:10">
      <c r="C179">
        <v>177</v>
      </c>
      <c r="D179" s="1">
        <f t="shared" si="14"/>
        <v>3.0892327760299634</v>
      </c>
      <c r="E179" s="1">
        <f t="shared" si="15"/>
        <v>-13.885667449645194</v>
      </c>
      <c r="F179" s="2">
        <f t="shared" si="16"/>
        <v>1.2460654636652184</v>
      </c>
      <c r="G179" s="1">
        <f t="shared" si="17"/>
        <v>-6.0327410765689793</v>
      </c>
      <c r="H179" s="1">
        <f t="shared" si="18"/>
        <v>0.83451103157906892</v>
      </c>
      <c r="I179" s="1">
        <f t="shared" si="19"/>
        <v>-9.9862953475457381</v>
      </c>
      <c r="J179" s="1">
        <f t="shared" si="20"/>
        <v>0.52335956242943804</v>
      </c>
    </row>
    <row r="180" spans="3:10">
      <c r="C180">
        <v>178</v>
      </c>
      <c r="D180" s="1">
        <f t="shared" si="14"/>
        <v>3.1066860685499065</v>
      </c>
      <c r="E180" s="1">
        <f t="shared" si="15"/>
        <v>-13.948985125696758</v>
      </c>
      <c r="F180" s="2">
        <f t="shared" si="16"/>
        <v>0.83461734206553606</v>
      </c>
      <c r="G180" s="1">
        <f t="shared" si="17"/>
        <v>-6.0145904786696258</v>
      </c>
      <c r="H180" s="1">
        <f t="shared" si="18"/>
        <v>0.5575421755401414</v>
      </c>
      <c r="I180" s="1">
        <f t="shared" si="19"/>
        <v>-9.993908270190957</v>
      </c>
      <c r="J180" s="1">
        <f t="shared" si="20"/>
        <v>0.34899496702501143</v>
      </c>
    </row>
    <row r="181" spans="3:10">
      <c r="C181">
        <v>179</v>
      </c>
      <c r="D181" s="1">
        <f t="shared" si="14"/>
        <v>3.12413936106985</v>
      </c>
      <c r="E181" s="1">
        <f t="shared" si="15"/>
        <v>-13.987216132613243</v>
      </c>
      <c r="F181" s="2">
        <f t="shared" si="16"/>
        <v>0.41848580378271083</v>
      </c>
      <c r="G181" s="1">
        <f t="shared" si="17"/>
        <v>-6.0036534607314813</v>
      </c>
      <c r="H181" s="1">
        <f t="shared" si="18"/>
        <v>0.27913219898651753</v>
      </c>
      <c r="I181" s="1">
        <f t="shared" si="19"/>
        <v>-9.9984769515639123</v>
      </c>
      <c r="J181" s="1">
        <f t="shared" si="20"/>
        <v>0.17452406437283438</v>
      </c>
    </row>
    <row r="182" spans="3:10">
      <c r="C182">
        <v>180</v>
      </c>
      <c r="D182" s="1">
        <f t="shared" si="14"/>
        <v>3.1415926535897931</v>
      </c>
      <c r="E182" s="1">
        <f t="shared" si="15"/>
        <v>-14</v>
      </c>
      <c r="F182" s="2">
        <f t="shared" si="16"/>
        <v>2.940356291780688E-15</v>
      </c>
      <c r="G182" s="1">
        <f t="shared" si="17"/>
        <v>-6</v>
      </c>
      <c r="H182" s="1">
        <f t="shared" si="18"/>
        <v>1.960237527853792E-15</v>
      </c>
      <c r="I182" s="1">
        <f t="shared" si="19"/>
        <v>-10</v>
      </c>
      <c r="J182" s="1">
        <f t="shared" si="20"/>
        <v>1.22514845490862E-15</v>
      </c>
    </row>
    <row r="183" spans="3:10">
      <c r="C183">
        <v>181</v>
      </c>
      <c r="D183" s="1">
        <f t="shared" si="14"/>
        <v>3.1590459461097367</v>
      </c>
      <c r="E183" s="1">
        <f t="shared" si="15"/>
        <v>-13.987216132613243</v>
      </c>
      <c r="F183" s="2">
        <f t="shared" si="16"/>
        <v>-0.41848580378271028</v>
      </c>
      <c r="G183" s="1">
        <f t="shared" si="17"/>
        <v>-6.0036534607314813</v>
      </c>
      <c r="H183" s="1">
        <f t="shared" si="18"/>
        <v>-0.27913219898652064</v>
      </c>
      <c r="I183" s="1">
        <f t="shared" si="19"/>
        <v>-9.9984769515639123</v>
      </c>
      <c r="J183" s="1">
        <f t="shared" si="20"/>
        <v>-0.17452406437283635</v>
      </c>
    </row>
    <row r="184" spans="3:10">
      <c r="C184">
        <v>182</v>
      </c>
      <c r="D184" s="1">
        <f t="shared" si="14"/>
        <v>3.1764992386296798</v>
      </c>
      <c r="E184" s="1">
        <f t="shared" si="15"/>
        <v>-13.94898512569676</v>
      </c>
      <c r="F184" s="2">
        <f t="shared" si="16"/>
        <v>-0.83461734206553029</v>
      </c>
      <c r="G184" s="1">
        <f t="shared" si="17"/>
        <v>-6.0145904786696249</v>
      </c>
      <c r="H184" s="1">
        <f t="shared" si="18"/>
        <v>-0.55754217554013752</v>
      </c>
      <c r="I184" s="1">
        <f t="shared" si="19"/>
        <v>-9.993908270190957</v>
      </c>
      <c r="J184" s="1">
        <f t="shared" si="20"/>
        <v>-0.34899496702500898</v>
      </c>
    </row>
    <row r="185" spans="3:10">
      <c r="C185">
        <v>183</v>
      </c>
      <c r="D185" s="1">
        <f t="shared" si="14"/>
        <v>3.1939525311496229</v>
      </c>
      <c r="E185" s="1">
        <f t="shared" si="15"/>
        <v>-13.885667449645196</v>
      </c>
      <c r="F185" s="2">
        <f t="shared" si="16"/>
        <v>-1.2460654636652126</v>
      </c>
      <c r="G185" s="1">
        <f t="shared" si="17"/>
        <v>-6.0327410765689784</v>
      </c>
      <c r="H185" s="1">
        <f t="shared" si="18"/>
        <v>-0.83451103157906492</v>
      </c>
      <c r="I185" s="1">
        <f t="shared" si="19"/>
        <v>-9.9862953475457381</v>
      </c>
      <c r="J185" s="1">
        <f t="shared" si="20"/>
        <v>-0.5233595624294356</v>
      </c>
    </row>
    <row r="186" spans="3:10">
      <c r="C186">
        <v>184</v>
      </c>
      <c r="D186" s="1">
        <f t="shared" si="14"/>
        <v>3.2114058236695664</v>
      </c>
      <c r="E186" s="1">
        <f t="shared" si="15"/>
        <v>-13.79785951840309</v>
      </c>
      <c r="F186" s="2">
        <f t="shared" si="16"/>
        <v>-1.6505509710811066</v>
      </c>
      <c r="G186" s="1">
        <f t="shared" si="17"/>
        <v>-6.0579890102019558</v>
      </c>
      <c r="H186" s="1">
        <f t="shared" si="18"/>
        <v>-1.1093265015870004</v>
      </c>
      <c r="I186" s="1">
        <f t="shared" si="19"/>
        <v>-9.9756405025982424</v>
      </c>
      <c r="J186" s="1">
        <f t="shared" si="20"/>
        <v>-0.6975647374412528</v>
      </c>
    </row>
    <row r="187" spans="3:10">
      <c r="C187">
        <v>185</v>
      </c>
      <c r="D187" s="1">
        <f t="shared" si="14"/>
        <v>3.2288591161895095</v>
      </c>
      <c r="E187" s="1">
        <f t="shared" si="15"/>
        <v>-13.686387184669826</v>
      </c>
      <c r="F187" s="2">
        <f t="shared" si="16"/>
        <v>-2.0458689129718932</v>
      </c>
      <c r="G187" s="1">
        <f t="shared" si="17"/>
        <v>-6.0901723431621466</v>
      </c>
      <c r="H187" s="1">
        <f t="shared" si="18"/>
        <v>-1.3812862286325993</v>
      </c>
      <c r="I187" s="1">
        <f t="shared" si="19"/>
        <v>-9.961946980917455</v>
      </c>
      <c r="J187" s="1">
        <f t="shared" si="20"/>
        <v>-0.87155742747657938</v>
      </c>
    </row>
    <row r="188" spans="3:10">
      <c r="C188">
        <v>186</v>
      </c>
      <c r="D188" s="1">
        <f t="shared" si="14"/>
        <v>3.246312408709453</v>
      </c>
      <c r="E188" s="1">
        <f t="shared" si="15"/>
        <v>-13.552296733169175</v>
      </c>
      <c r="F188" s="2">
        <f t="shared" si="16"/>
        <v>-2.4299120637967868</v>
      </c>
      <c r="G188" s="1">
        <f t="shared" si="17"/>
        <v>-6.1290842476609848</v>
      </c>
      <c r="H188" s="1">
        <f t="shared" si="18"/>
        <v>-1.6497009922928285</v>
      </c>
      <c r="I188" s="1">
        <f t="shared" si="19"/>
        <v>-9.9452189536827333</v>
      </c>
      <c r="J188" s="1">
        <f t="shared" si="20"/>
        <v>-1.045284632676535</v>
      </c>
    </row>
    <row r="189" spans="3:10">
      <c r="C189">
        <v>187</v>
      </c>
      <c r="D189" s="1">
        <f t="shared" si="14"/>
        <v>3.2637657012293961</v>
      </c>
      <c r="E189" s="1">
        <f t="shared" si="15"/>
        <v>-13.396843470650653</v>
      </c>
      <c r="F189" s="2">
        <f t="shared" si="16"/>
        <v>-2.8006933335794839</v>
      </c>
      <c r="G189" s="1">
        <f t="shared" si="17"/>
        <v>-6.1744740274127219</v>
      </c>
      <c r="H189" s="1">
        <f t="shared" si="18"/>
        <v>-1.9138978728129588</v>
      </c>
      <c r="I189" s="1">
        <f t="shared" si="19"/>
        <v>-9.9254615164132218</v>
      </c>
      <c r="J189" s="1">
        <f t="shared" si="20"/>
        <v>-1.218693434051473</v>
      </c>
    </row>
    <row r="190" spans="3:10">
      <c r="C190">
        <v>188</v>
      </c>
      <c r="D190" s="1">
        <f t="shared" si="14"/>
        <v>3.2812189937493397</v>
      </c>
      <c r="E190" s="1">
        <f t="shared" si="15"/>
        <v>-13.22147803761656</v>
      </c>
      <c r="F190" s="2">
        <f t="shared" si="16"/>
        <v>-3.1563668624755752</v>
      </c>
      <c r="G190" s="1">
        <f t="shared" si="17"/>
        <v>-6.2260483576197103</v>
      </c>
      <c r="H190" s="1">
        <f t="shared" si="18"/>
        <v>-2.1732233361469344</v>
      </c>
      <c r="I190" s="1">
        <f t="shared" si="19"/>
        <v>-9.9026806874157032</v>
      </c>
      <c r="J190" s="1">
        <f t="shared" si="20"/>
        <v>-1.3917310096006552</v>
      </c>
    </row>
    <row r="191" spans="3:10">
      <c r="C191">
        <v>189</v>
      </c>
      <c r="D191" s="1">
        <f t="shared" si="14"/>
        <v>3.2986722862692828</v>
      </c>
      <c r="E191" s="1">
        <f t="shared" si="15"/>
        <v>-13.027830591726604</v>
      </c>
      <c r="F191" s="2">
        <f t="shared" si="16"/>
        <v>-3.4952475692326606</v>
      </c>
      <c r="G191" s="1">
        <f t="shared" si="17"/>
        <v>-6.2834727360112073</v>
      </c>
      <c r="H191" s="1">
        <f t="shared" si="18"/>
        <v>-2.4270462249067912</v>
      </c>
      <c r="I191" s="1">
        <f t="shared" si="19"/>
        <v>-9.8768834059513786</v>
      </c>
      <c r="J191" s="1">
        <f t="shared" si="20"/>
        <v>-1.5643446504023073</v>
      </c>
    </row>
    <row r="192" spans="3:10">
      <c r="C192">
        <v>190</v>
      </c>
      <c r="D192" s="1">
        <f t="shared" si="14"/>
        <v>3.3161255787892263</v>
      </c>
      <c r="E192" s="1">
        <f t="shared" si="15"/>
        <v>-12.817693036146492</v>
      </c>
      <c r="F192" s="2">
        <f t="shared" si="16"/>
        <v>-3.8158289395720444</v>
      </c>
      <c r="G192" s="1">
        <f t="shared" si="17"/>
        <v>-6.3463731378597092</v>
      </c>
      <c r="H192" s="1">
        <f t="shared" si="18"/>
        <v>-2.6747606407085232</v>
      </c>
      <c r="I192" s="1">
        <f t="shared" si="19"/>
        <v>-9.8480775301220795</v>
      </c>
      <c r="J192" s="1">
        <f t="shared" si="20"/>
        <v>-1.7364817766693048</v>
      </c>
    </row>
    <row r="193" spans="3:10">
      <c r="C193">
        <v>191</v>
      </c>
      <c r="D193" s="1">
        <f t="shared" si="14"/>
        <v>3.3335788713091694</v>
      </c>
      <c r="E193" s="1">
        <f t="shared" si="15"/>
        <v>-12.592999487523571</v>
      </c>
      <c r="F193" s="2">
        <f t="shared" si="16"/>
        <v>-4.1167988598037368</v>
      </c>
      <c r="G193" s="1">
        <f t="shared" si="17"/>
        <v>-6.4143378669040088</v>
      </c>
      <c r="H193" s="1">
        <f t="shared" si="18"/>
        <v>-2.9157887039303518</v>
      </c>
      <c r="I193" s="1">
        <f t="shared" si="19"/>
        <v>-9.8162718344766393</v>
      </c>
      <c r="J193" s="1">
        <f t="shared" si="20"/>
        <v>-1.9080899537654472</v>
      </c>
    </row>
    <row r="194" spans="3:10">
      <c r="C194">
        <v>192</v>
      </c>
      <c r="D194" s="1">
        <f t="shared" si="14"/>
        <v>3.351032163829113</v>
      </c>
      <c r="E194" s="1">
        <f t="shared" si="15"/>
        <v>-12.355805197555563</v>
      </c>
      <c r="F194" s="2">
        <f t="shared" si="16"/>
        <v>-4.3970533224034209</v>
      </c>
      <c r="G194" s="1">
        <f t="shared" si="17"/>
        <v>-6.486919593152729</v>
      </c>
      <c r="H194" s="1">
        <f t="shared" si="18"/>
        <v>-3.1495831774968654</v>
      </c>
      <c r="I194" s="1">
        <f t="shared" si="19"/>
        <v>-9.7814760073380551</v>
      </c>
      <c r="J194" s="1">
        <f t="shared" si="20"/>
        <v>-2.0791169081775953</v>
      </c>
    </row>
    <row r="195" spans="3:10">
      <c r="C195">
        <v>193</v>
      </c>
      <c r="D195" s="1">
        <f t="shared" ref="D195:D258" si="21">RADIANS(C195)</f>
        <v>3.3684854563490561</v>
      </c>
      <c r="E195" s="1">
        <f t="shared" ref="E195:E258" si="22">($B$1+$B$2)*COS(D195) - $B$3*COS((($B$1+$B$2)/$B$2)*D195)</f>
        <v>-12.108264159058342</v>
      </c>
      <c r="F195" s="2">
        <f t="shared" ref="F195:F258" si="23">($B$1+$B$2)*SIN(D195) - $B$3*SIN((($B$1+$B$2)/$B$2)*D195)</f>
        <v>-4.6557078535939906</v>
      </c>
      <c r="G195" s="1">
        <f t="shared" ref="G195:G258" si="24">($B$1-$B$2)*COS(D195) + $B$3*COS((($B$1-$B$2)/$B$2)*D195)</f>
        <v>-6.5636375676305647</v>
      </c>
      <c r="H195" s="1">
        <f t="shared" ref="H195:H258" si="25">($B$1-$B$2)*SIN(D195) - $B$3*SIN((($B$1-$B$2)/$B$2)*D195)</f>
        <v>-3.3756299419643634</v>
      </c>
      <c r="I195" s="1">
        <f t="shared" ref="I195:I258" si="26">$B$1*COS(D195)</f>
        <v>-9.7437006478523518</v>
      </c>
      <c r="J195" s="1">
        <f t="shared" ref="J195:J258" si="27">$B$1*SIN(D195)</f>
        <v>-2.2495105434386495</v>
      </c>
    </row>
    <row r="196" spans="3:10">
      <c r="C196">
        <v>194</v>
      </c>
      <c r="D196" s="1">
        <f t="shared" si="21"/>
        <v>3.3859387488689991</v>
      </c>
      <c r="E196" s="1">
        <f t="shared" si="22"/>
        <v>-11.852605641847264</v>
      </c>
      <c r="F196" s="2">
        <f t="shared" si="23"/>
        <v>-4.8921065379325572</v>
      </c>
      <c r="G196" s="1">
        <f t="shared" si="24"/>
        <v>-6.6439800032664769</v>
      </c>
      <c r="H196" s="1">
        <f t="shared" si="25"/>
        <v>-3.5934503099074222</v>
      </c>
      <c r="I196" s="1">
        <f t="shared" si="26"/>
        <v>-9.7029572627599645</v>
      </c>
      <c r="J196" s="1">
        <f t="shared" si="27"/>
        <v>-2.419218955996675</v>
      </c>
    </row>
    <row r="197" spans="3:10">
      <c r="C197">
        <v>195</v>
      </c>
      <c r="D197" s="1">
        <f t="shared" si="21"/>
        <v>3.4033920413889427</v>
      </c>
      <c r="E197" s="1">
        <f t="shared" si="22"/>
        <v>-11.591109915468818</v>
      </c>
      <c r="F197" s="2">
        <f t="shared" si="23"/>
        <v>-5.1058285412302498</v>
      </c>
      <c r="G197" s="1">
        <f t="shared" si="24"/>
        <v>-6.7274066103125465</v>
      </c>
      <c r="H197" s="1">
        <f t="shared" si="25"/>
        <v>-3.8026031683890436</v>
      </c>
      <c r="I197" s="1">
        <f t="shared" si="26"/>
        <v>-9.6592582628906829</v>
      </c>
      <c r="J197" s="1">
        <f t="shared" si="27"/>
        <v>-2.5881904510252078</v>
      </c>
    </row>
    <row r="198" spans="3:10">
      <c r="C198">
        <v>196</v>
      </c>
      <c r="D198" s="1">
        <f t="shared" si="21"/>
        <v>3.4208453339088858</v>
      </c>
      <c r="E198" s="1">
        <f t="shared" si="22"/>
        <v>-11.326083424724525</v>
      </c>
      <c r="F198" s="2">
        <f t="shared" si="23"/>
        <v>-5.2966920605405345</v>
      </c>
      <c r="G198" s="1">
        <f t="shared" si="24"/>
        <v>-6.8133512739283955</v>
      </c>
      <c r="H198" s="1">
        <f t="shared" si="25"/>
        <v>-4.0026869391343256</v>
      </c>
      <c r="I198" s="1">
        <f t="shared" si="26"/>
        <v>-9.6126169593831889</v>
      </c>
      <c r="J198" s="1">
        <f t="shared" si="27"/>
        <v>-2.7563735581699902</v>
      </c>
    </row>
    <row r="199" spans="3:10">
      <c r="C199">
        <v>197</v>
      </c>
      <c r="D199" s="1">
        <f t="shared" si="21"/>
        <v>3.4382986264288293</v>
      </c>
      <c r="E199" s="1">
        <f t="shared" si="22"/>
        <v>-11.059833689920902</v>
      </c>
      <c r="F199" s="2">
        <f t="shared" si="23"/>
        <v>-5.4647556581404517</v>
      </c>
      <c r="G199" s="1">
        <f t="shared" si="24"/>
        <v>-6.9012248608724596</v>
      </c>
      <c r="H199" s="1">
        <f t="shared" si="25"/>
        <v>-4.193341346915469</v>
      </c>
      <c r="I199" s="1">
        <f t="shared" si="26"/>
        <v>-9.5630475596303537</v>
      </c>
      <c r="J199" s="1">
        <f t="shared" si="27"/>
        <v>-2.9237170472273677</v>
      </c>
    </row>
    <row r="200" spans="3:10">
      <c r="C200">
        <v>198</v>
      </c>
      <c r="D200" s="1">
        <f t="shared" si="21"/>
        <v>3.4557519189487724</v>
      </c>
      <c r="E200" s="1">
        <f t="shared" si="22"/>
        <v>-10.794644206791951</v>
      </c>
      <c r="F200" s="2">
        <f t="shared" si="23"/>
        <v>-5.6103169650896749</v>
      </c>
      <c r="G200" s="1">
        <f t="shared" si="24"/>
        <v>-6.9904181416113333</v>
      </c>
      <c r="H200" s="1">
        <f t="shared" si="25"/>
        <v>-4.3742489875898851</v>
      </c>
      <c r="I200" s="1">
        <f t="shared" si="26"/>
        <v>-9.5105651629515364</v>
      </c>
      <c r="J200" s="1">
        <f t="shared" si="27"/>
        <v>-3.0901699437494727</v>
      </c>
    </row>
    <row r="201" spans="3:10">
      <c r="C201">
        <v>199</v>
      </c>
      <c r="D201" s="1">
        <f t="shared" si="21"/>
        <v>3.473205211468716</v>
      </c>
      <c r="E201" s="1">
        <f t="shared" si="22"/>
        <v>-10.532749621040201</v>
      </c>
      <c r="F201" s="2">
        <f t="shared" si="23"/>
        <v>-5.7339087687710837</v>
      </c>
      <c r="G201" s="1">
        <f t="shared" si="24"/>
        <v>-7.0803048135951991</v>
      </c>
      <c r="H201" s="1">
        <f t="shared" si="25"/>
        <v>-4.5451366882092472</v>
      </c>
      <c r="I201" s="1">
        <f t="shared" si="26"/>
        <v>-9.4551857559931669</v>
      </c>
      <c r="J201" s="1">
        <f t="shared" si="27"/>
        <v>-3.2556815445715674</v>
      </c>
    </row>
    <row r="202" spans="3:10">
      <c r="C202">
        <v>200</v>
      </c>
      <c r="D202" s="1">
        <f t="shared" si="21"/>
        <v>3.4906585039886591</v>
      </c>
      <c r="E202" s="1">
        <f t="shared" si="22"/>
        <v>-10.276311449430901</v>
      </c>
      <c r="F202" s="2">
        <f t="shared" si="23"/>
        <v>-5.8362925274769006</v>
      </c>
      <c r="G202" s="1">
        <f t="shared" si="24"/>
        <v>-7.1702446109534064</v>
      </c>
      <c r="H202" s="1">
        <f t="shared" si="25"/>
        <v>-4.7057766526297655</v>
      </c>
      <c r="I202" s="1">
        <f t="shared" si="26"/>
        <v>-9.3969262078590852</v>
      </c>
      <c r="J202" s="1">
        <f t="shared" si="27"/>
        <v>-3.4202014332566866</v>
      </c>
    </row>
    <row r="203" spans="3:10">
      <c r="C203">
        <v>201</v>
      </c>
      <c r="D203" s="1">
        <f t="shared" si="21"/>
        <v>3.5081117965086026</v>
      </c>
      <c r="E203" s="1">
        <f t="shared" si="22"/>
        <v>-10.027394613381473</v>
      </c>
      <c r="F203" s="2">
        <f t="shared" si="23"/>
        <v>-5.918449383293499</v>
      </c>
      <c r="G203" s="1">
        <f t="shared" si="24"/>
        <v>-7.2595864854423082</v>
      </c>
      <c r="H203" s="1">
        <f t="shared" si="25"/>
        <v>-4.8559873870989501</v>
      </c>
      <c r="I203" s="1">
        <f t="shared" si="26"/>
        <v>-9.3358042649720172</v>
      </c>
      <c r="J203" s="1">
        <f t="shared" si="27"/>
        <v>-3.5836794954530045</v>
      </c>
    </row>
    <row r="204" spans="3:10">
      <c r="C204">
        <v>202</v>
      </c>
      <c r="D204" s="1">
        <f t="shared" si="21"/>
        <v>3.5255650890285457</v>
      </c>
      <c r="E204" s="1">
        <f t="shared" si="22"/>
        <v>-9.7879450420837362</v>
      </c>
      <c r="F204" s="2">
        <f t="shared" si="23"/>
        <v>-5.9815687719457351</v>
      </c>
      <c r="G204" s="1">
        <f t="shared" si="24"/>
        <v>-7.3476718431292971</v>
      </c>
      <c r="H204" s="1">
        <f t="shared" si="25"/>
        <v>-4.9956344013654874</v>
      </c>
      <c r="I204" s="1">
        <f t="shared" si="26"/>
        <v>-9.2718385456678742</v>
      </c>
      <c r="J204" s="1">
        <f t="shared" si="27"/>
        <v>-3.74606593415912</v>
      </c>
    </row>
    <row r="205" spans="3:10">
      <c r="C205">
        <v>203</v>
      </c>
      <c r="D205" s="1">
        <f t="shared" si="21"/>
        <v>3.5430183815484888</v>
      </c>
      <c r="E205" s="1">
        <f t="shared" si="22"/>
        <v>-9.5597685904744978</v>
      </c>
      <c r="F205" s="2">
        <f t="shared" si="23"/>
        <v>-6.0270347545890006</v>
      </c>
      <c r="G205" s="1">
        <f t="shared" si="24"/>
        <v>-7.4338378210245226</v>
      </c>
      <c r="H205" s="1">
        <f t="shared" si="25"/>
        <v>-5.1246306819523797</v>
      </c>
      <c r="I205" s="1">
        <f t="shared" si="26"/>
        <v>-9.2050485345244031</v>
      </c>
      <c r="J205" s="1">
        <f t="shared" si="27"/>
        <v>-3.9073112848927356</v>
      </c>
    </row>
    <row r="206" spans="3:10">
      <c r="C206">
        <v>204</v>
      </c>
      <c r="D206" s="1">
        <f t="shared" si="21"/>
        <v>3.5604716740684323</v>
      </c>
      <c r="E206" s="1">
        <f t="shared" si="22"/>
        <v>-9.3445115029613177</v>
      </c>
      <c r="F206" s="2">
        <f t="shared" si="23"/>
        <v>-6.0564102214945503</v>
      </c>
      <c r="G206" s="1">
        <f t="shared" si="24"/>
        <v>-7.5174205876761135</v>
      </c>
      <c r="H206" s="1">
        <f t="shared" si="25"/>
        <v>-5.2429369353429482</v>
      </c>
      <c r="I206" s="1">
        <f t="shared" si="26"/>
        <v>-9.1354545764260084</v>
      </c>
      <c r="J206" s="1">
        <f t="shared" si="27"/>
        <v>-4.0673664307580024</v>
      </c>
    </row>
    <row r="207" spans="3:10">
      <c r="C207">
        <v>205</v>
      </c>
      <c r="D207" s="1">
        <f t="shared" si="21"/>
        <v>3.5779249665883754</v>
      </c>
      <c r="E207" s="1">
        <f t="shared" si="22"/>
        <v>-9.1436426368709238</v>
      </c>
      <c r="F207" s="2">
        <f t="shared" si="23"/>
        <v>-6.0714191408883913</v>
      </c>
      <c r="G207" s="1">
        <f t="shared" si="24"/>
        <v>-7.5977586516270597</v>
      </c>
      <c r="H207" s="1">
        <f t="shared" si="25"/>
        <v>-5.3505615999500105</v>
      </c>
      <c r="I207" s="1">
        <f t="shared" si="26"/>
        <v>-9.0630778703665005</v>
      </c>
      <c r="J207" s="1">
        <f t="shared" si="27"/>
        <v>-4.2261826174069927</v>
      </c>
    </row>
    <row r="208" spans="3:10">
      <c r="C208">
        <v>206</v>
      </c>
      <c r="D208" s="1">
        <f t="shared" si="21"/>
        <v>3.595378259108319</v>
      </c>
      <c r="E208" s="1">
        <f t="shared" si="22"/>
        <v>-8.9584376403048012</v>
      </c>
      <c r="F208" s="2">
        <f t="shared" si="23"/>
        <v>-6.0739270476205292</v>
      </c>
      <c r="G208" s="1">
        <f t="shared" si="24"/>
        <v>-7.674196161592671</v>
      </c>
      <c r="H208" s="1">
        <f t="shared" si="25"/>
        <v>-5.4475606268646128</v>
      </c>
      <c r="I208" s="1">
        <f t="shared" si="26"/>
        <v>-8.9879404629916699</v>
      </c>
      <c r="J208" s="1">
        <f t="shared" si="27"/>
        <v>-4.3837114678907749</v>
      </c>
    </row>
    <row r="209" spans="3:10">
      <c r="C209">
        <v>207</v>
      </c>
      <c r="D209" s="1">
        <f t="shared" si="21"/>
        <v>3.6128315516282621</v>
      </c>
      <c r="E209" s="1">
        <f t="shared" si="22"/>
        <v>-8.7899652576701079</v>
      </c>
      <c r="F209" s="2">
        <f t="shared" si="23"/>
        <v>-6.0659199856244532</v>
      </c>
      <c r="G209" s="1">
        <f t="shared" si="24"/>
        <v>-7.7460861822568372</v>
      </c>
      <c r="H209" s="1">
        <f t="shared" si="25"/>
        <v>-5.5340370305066813</v>
      </c>
      <c r="I209" s="1">
        <f t="shared" si="26"/>
        <v>-8.9100652418836788</v>
      </c>
      <c r="J209" s="1">
        <f t="shared" si="27"/>
        <v>-4.5399049973954666</v>
      </c>
    </row>
    <row r="210" spans="3:10">
      <c r="C210">
        <v>208</v>
      </c>
      <c r="D210" s="1">
        <f t="shared" si="21"/>
        <v>3.6302848441482056</v>
      </c>
      <c r="E210" s="1">
        <f t="shared" si="22"/>
        <v>-8.6390759128395107</v>
      </c>
      <c r="F210" s="2">
        <f t="shared" si="23"/>
        <v>-6.0494821350662065</v>
      </c>
      <c r="G210" s="1">
        <f t="shared" si="24"/>
        <v>-7.8127939297032398</v>
      </c>
      <c r="H210" s="1">
        <f t="shared" si="25"/>
        <v>-5.6101402114207009</v>
      </c>
      <c r="I210" s="1">
        <f t="shared" si="26"/>
        <v>-8.8294759285892681</v>
      </c>
      <c r="J210" s="1">
        <f t="shared" si="27"/>
        <v>-4.6947156278589084</v>
      </c>
    </row>
    <row r="211" spans="3:10">
      <c r="C211">
        <v>209</v>
      </c>
      <c r="D211" s="1">
        <f t="shared" si="21"/>
        <v>3.6477381366681487</v>
      </c>
      <c r="E211" s="1">
        <f t="shared" si="22"/>
        <v>-8.5063926949362028</v>
      </c>
      <c r="F211" s="2">
        <f t="shared" si="23"/>
        <v>-6.0267723694913533</v>
      </c>
      <c r="G211" s="1">
        <f t="shared" si="24"/>
        <v>-7.8736999506933207</v>
      </c>
      <c r="H211" s="1">
        <f t="shared" si="25"/>
        <v>-5.6760650545690297</v>
      </c>
      <c r="I211" s="1">
        <f t="shared" si="26"/>
        <v>-8.7461970713939579</v>
      </c>
      <c r="J211" s="1">
        <f t="shared" si="27"/>
        <v>-4.8480962024633696</v>
      </c>
    </row>
    <row r="212" spans="3:10">
      <c r="C212">
        <v>210</v>
      </c>
      <c r="D212" s="1">
        <f t="shared" si="21"/>
        <v>3.6651914291880923</v>
      </c>
      <c r="E212" s="1">
        <f t="shared" si="22"/>
        <v>-8.392304845413264</v>
      </c>
      <c r="F212" s="2">
        <f t="shared" si="23"/>
        <v>-5.9999999999999964</v>
      </c>
      <c r="G212" s="1">
        <f t="shared" si="24"/>
        <v>-7.9282032302755097</v>
      </c>
      <c r="H212" s="1">
        <f t="shared" si="25"/>
        <v>-5.7320508075688776</v>
      </c>
      <c r="I212" s="1">
        <f t="shared" si="26"/>
        <v>-8.6602540378443855</v>
      </c>
      <c r="J212" s="1">
        <f t="shared" si="27"/>
        <v>-5.0000000000000009</v>
      </c>
    </row>
    <row r="213" spans="3:10">
      <c r="C213">
        <v>211</v>
      </c>
      <c r="D213" s="1">
        <f t="shared" si="21"/>
        <v>3.6826447217080354</v>
      </c>
      <c r="E213" s="1">
        <f t="shared" si="22"/>
        <v>-8.2969638176888001</v>
      </c>
      <c r="F213" s="2">
        <f t="shared" si="23"/>
        <v>-5.9713999723853428</v>
      </c>
      <c r="G213" s="1">
        <f t="shared" si="24"/>
        <v>-7.9757242125583918</v>
      </c>
      <c r="H213" s="1">
        <f t="shared" si="25"/>
        <v>-5.7783797443905165</v>
      </c>
      <c r="I213" s="1">
        <f t="shared" si="26"/>
        <v>-8.5716730070211238</v>
      </c>
      <c r="J213" s="1">
        <f t="shared" si="27"/>
        <v>-5.1503807491005418</v>
      </c>
    </row>
    <row r="214" spans="3:10">
      <c r="C214">
        <v>212</v>
      </c>
      <c r="D214" s="1">
        <f t="shared" si="21"/>
        <v>3.7000980142279785</v>
      </c>
      <c r="E214" s="1">
        <f t="shared" si="22"/>
        <v>-8.2202819524094988</v>
      </c>
      <c r="F214" s="2">
        <f t="shared" si="23"/>
        <v>-5.9432077891629458</v>
      </c>
      <c r="G214" s="1">
        <f t="shared" si="24"/>
        <v>-8.0157077199027231</v>
      </c>
      <c r="H214" s="1">
        <f t="shared" si="25"/>
        <v>-5.8153756210790837</v>
      </c>
      <c r="I214" s="1">
        <f t="shared" si="26"/>
        <v>-8.4804809615642611</v>
      </c>
      <c r="J214" s="1">
        <f t="shared" si="27"/>
        <v>-5.2991926423320477</v>
      </c>
    </row>
    <row r="215" spans="3:10">
      <c r="C215">
        <v>213</v>
      </c>
      <c r="D215" s="1">
        <f t="shared" si="21"/>
        <v>3.717551306747922</v>
      </c>
      <c r="E215" s="1">
        <f t="shared" si="22"/>
        <v>-8.1619337827547813</v>
      </c>
      <c r="F215" s="2">
        <f t="shared" si="23"/>
        <v>-5.9176344314304288</v>
      </c>
      <c r="G215" s="1">
        <f t="shared" si="24"/>
        <v>-8.0476257562811089</v>
      </c>
      <c r="H215" s="1">
        <f t="shared" si="25"/>
        <v>-5.8434019310750056</v>
      </c>
      <c r="I215" s="1">
        <f t="shared" si="26"/>
        <v>-8.3867056794542414</v>
      </c>
      <c r="J215" s="1">
        <f t="shared" si="27"/>
        <v>-5.4463903501502706</v>
      </c>
    </row>
    <row r="216" spans="3:10">
      <c r="C216">
        <v>214</v>
      </c>
      <c r="D216" s="1">
        <f t="shared" si="21"/>
        <v>3.7350045992678651</v>
      </c>
      <c r="E216" s="1">
        <f t="shared" si="22"/>
        <v>-8.1213599553752971</v>
      </c>
      <c r="F216" s="2">
        <f t="shared" si="23"/>
        <v>-5.8968415554973639</v>
      </c>
      <c r="G216" s="1">
        <f t="shared" si="24"/>
        <v>-8.0709801811176369</v>
      </c>
      <c r="H216" s="1">
        <f t="shared" si="25"/>
        <v>-5.8628599686839689</v>
      </c>
      <c r="I216" s="1">
        <f t="shared" si="26"/>
        <v>-8.2903757255504189</v>
      </c>
      <c r="J216" s="1">
        <f t="shared" si="27"/>
        <v>-5.5919290347074666</v>
      </c>
    </row>
    <row r="217" spans="3:10">
      <c r="C217">
        <v>215</v>
      </c>
      <c r="D217" s="1">
        <f t="shared" si="21"/>
        <v>3.7524578917878086</v>
      </c>
      <c r="E217" s="1">
        <f t="shared" si="22"/>
        <v>-8.0977737238990226</v>
      </c>
      <c r="F217" s="2">
        <f t="shared" si="23"/>
        <v>-5.882917236212557</v>
      </c>
      <c r="G217" s="1">
        <f t="shared" si="24"/>
        <v>-8.0853052405498911</v>
      </c>
      <c r="H217" s="1">
        <f t="shared" si="25"/>
        <v>-5.8741867101814478</v>
      </c>
      <c r="I217" s="1">
        <f t="shared" si="26"/>
        <v>-8.1915204428899173</v>
      </c>
      <c r="J217" s="1">
        <f t="shared" si="27"/>
        <v>-5.7357643635104614</v>
      </c>
    </row>
    <row r="218" spans="3:10">
      <c r="C218">
        <v>216</v>
      </c>
      <c r="D218" s="1">
        <f t="shared" si="21"/>
        <v>3.7699111843077517</v>
      </c>
      <c r="E218" s="1">
        <f t="shared" si="22"/>
        <v>-8.0901699437494763</v>
      </c>
      <c r="F218" s="2">
        <f t="shared" si="23"/>
        <v>-5.8778525229247318</v>
      </c>
      <c r="G218" s="1">
        <f t="shared" si="24"/>
        <v>-8.0901699437494745</v>
      </c>
      <c r="H218" s="1">
        <f t="shared" si="25"/>
        <v>-5.8778525229247318</v>
      </c>
      <c r="I218" s="1">
        <f t="shared" si="26"/>
        <v>-8.0901699437494763</v>
      </c>
      <c r="J218" s="1">
        <f t="shared" si="27"/>
        <v>-5.87785252292473</v>
      </c>
    </row>
    <row r="219" spans="3:10">
      <c r="C219">
        <v>217</v>
      </c>
      <c r="D219" s="1">
        <f t="shared" si="21"/>
        <v>3.7873644768276953</v>
      </c>
      <c r="E219" s="1">
        <f t="shared" si="22"/>
        <v>-8.0973364696127241</v>
      </c>
      <c r="F219" s="2">
        <f t="shared" si="23"/>
        <v>-5.8835190651068636</v>
      </c>
      <c r="G219" s="1">
        <f t="shared" si="24"/>
        <v>-8.0851802726911952</v>
      </c>
      <c r="H219" s="1">
        <f t="shared" si="25"/>
        <v>-5.8743587136827964</v>
      </c>
      <c r="I219" s="1">
        <f t="shared" si="26"/>
        <v>-7.9863551004729283</v>
      </c>
      <c r="J219" s="1">
        <f t="shared" si="27"/>
        <v>-6.018150231520484</v>
      </c>
    </row>
    <row r="220" spans="3:10">
      <c r="C220">
        <v>218</v>
      </c>
      <c r="D220" s="1">
        <f t="shared" si="21"/>
        <v>3.8048177693476384</v>
      </c>
      <c r="E220" s="1">
        <f t="shared" si="22"/>
        <v>-8.1178678305629486</v>
      </c>
      <c r="F220" s="2">
        <f t="shared" si="23"/>
        <v>-5.9016480529531092</v>
      </c>
      <c r="G220" s="1">
        <f t="shared" si="24"/>
        <v>-8.0699812145716301</v>
      </c>
      <c r="H220" s="1">
        <f t="shared" si="25"/>
        <v>-5.8642349281770478</v>
      </c>
      <c r="I220" s="1">
        <f t="shared" si="26"/>
        <v>-7.8801075360672197</v>
      </c>
      <c r="J220" s="1">
        <f t="shared" si="27"/>
        <v>-6.1566147532565818</v>
      </c>
    </row>
    <row r="221" spans="3:10">
      <c r="C221">
        <v>219</v>
      </c>
      <c r="D221" s="1">
        <f t="shared" si="21"/>
        <v>3.8222710618675819</v>
      </c>
      <c r="E221" s="1">
        <f t="shared" si="22"/>
        <v>-8.1501810328987041</v>
      </c>
      <c r="F221" s="2">
        <f t="shared" si="23"/>
        <v>-5.9338107038481551</v>
      </c>
      <c r="G221" s="1">
        <f t="shared" si="24"/>
        <v>-8.0442586069409678</v>
      </c>
      <c r="H221" s="1">
        <f t="shared" si="25"/>
        <v>-5.8480364145503003</v>
      </c>
      <c r="I221" s="1">
        <f t="shared" si="26"/>
        <v>-7.7714596145697081</v>
      </c>
      <c r="J221" s="1">
        <f t="shared" si="27"/>
        <v>-6.2932039104983764</v>
      </c>
    </row>
    <row r="222" spans="3:10">
      <c r="C222">
        <v>220</v>
      </c>
      <c r="D222" s="1">
        <f t="shared" si="21"/>
        <v>3.839724354387525</v>
      </c>
      <c r="E222" s="1">
        <f t="shared" si="22"/>
        <v>-8.1925333174277384</v>
      </c>
      <c r="F222" s="2">
        <f t="shared" si="23"/>
        <v>-5.9814005086695925</v>
      </c>
      <c r="G222" s="1">
        <f t="shared" si="24"/>
        <v>-8.007740786523641</v>
      </c>
      <c r="H222" s="1">
        <f t="shared" si="25"/>
        <v>-5.8263411641436518</v>
      </c>
      <c r="I222" s="1">
        <f t="shared" si="26"/>
        <v>-7.6604444311897799</v>
      </c>
      <c r="J222" s="1">
        <f t="shared" si="27"/>
        <v>-6.4278760968653925</v>
      </c>
    </row>
    <row r="223" spans="3:10">
      <c r="C223">
        <v>221</v>
      </c>
      <c r="D223" s="1">
        <f t="shared" si="21"/>
        <v>3.8571776469074681</v>
      </c>
      <c r="E223" s="1">
        <f t="shared" si="22"/>
        <v>-8.2430416765216616</v>
      </c>
      <c r="F223" s="2">
        <f t="shared" si="23"/>
        <v>-6.045617432600884</v>
      </c>
      <c r="G223" s="1">
        <f t="shared" si="24"/>
        <v>-7.9602000336588139</v>
      </c>
      <c r="H223" s="1">
        <f t="shared" si="25"/>
        <v>-5.7997469435580564</v>
      </c>
      <c r="I223" s="1">
        <f t="shared" si="26"/>
        <v>-7.5470958022277213</v>
      </c>
      <c r="J223" s="1">
        <f t="shared" si="27"/>
        <v>-6.5605902899050701</v>
      </c>
    </row>
    <row r="224" spans="3:10">
      <c r="C224">
        <v>222</v>
      </c>
      <c r="D224" s="1">
        <f t="shared" si="21"/>
        <v>3.8746309394274117</v>
      </c>
      <c r="E224" s="1">
        <f t="shared" si="22"/>
        <v>-8.2997039169788351</v>
      </c>
      <c r="F224" s="2">
        <f t="shared" si="23"/>
        <v>-6.1274542437159925</v>
      </c>
      <c r="G224" s="1">
        <f t="shared" si="24"/>
        <v>-7.9014538052867653</v>
      </c>
      <c r="H224" s="1">
        <f t="shared" si="25"/>
        <v>-5.7688682325063843</v>
      </c>
      <c r="I224" s="1">
        <f t="shared" si="26"/>
        <v>-7.431448254773942</v>
      </c>
      <c r="J224" s="1">
        <f t="shared" si="27"/>
        <v>-6.6913060635885824</v>
      </c>
    </row>
    <row r="225" spans="3:10">
      <c r="C225">
        <v>223</v>
      </c>
      <c r="D225" s="1">
        <f t="shared" si="21"/>
        <v>3.8920842319473548</v>
      </c>
      <c r="E225" s="1">
        <f t="shared" si="22"/>
        <v>-8.3604210377945272</v>
      </c>
      <c r="F225" s="2">
        <f t="shared" si="23"/>
        <v>-6.2276851192823699</v>
      </c>
      <c r="G225" s="1">
        <f t="shared" si="24"/>
        <v>-7.8313657504365048</v>
      </c>
      <c r="H225" s="1">
        <f t="shared" si="25"/>
        <v>-5.7343330824201191</v>
      </c>
      <c r="I225" s="1">
        <f t="shared" si="26"/>
        <v>-7.3135370161917059</v>
      </c>
      <c r="J225" s="1">
        <f t="shared" si="27"/>
        <v>-6.8199836006249832</v>
      </c>
    </row>
    <row r="226" spans="3:10">
      <c r="C226">
        <v>224</v>
      </c>
      <c r="D226" s="1">
        <f t="shared" si="21"/>
        <v>3.9095375244672983</v>
      </c>
      <c r="E226" s="1">
        <f t="shared" si="22"/>
        <v>-8.4230206775285072</v>
      </c>
      <c r="F226" s="2">
        <f t="shared" si="23"/>
        <v>-6.3468566547714218</v>
      </c>
      <c r="G226" s="1">
        <f t="shared" si="24"/>
        <v>-7.7498465032288575</v>
      </c>
      <c r="H226" s="1">
        <f t="shared" si="25"/>
        <v>-5.6967799111602293</v>
      </c>
      <c r="I226" s="1">
        <f t="shared" si="26"/>
        <v>-7.1933980033865108</v>
      </c>
      <c r="J226" s="1">
        <f t="shared" si="27"/>
        <v>-6.9465837045899734</v>
      </c>
    </row>
    <row r="227" spans="3:10">
      <c r="C227">
        <v>225</v>
      </c>
      <c r="D227" s="1">
        <f t="shared" si="21"/>
        <v>3.9269908169872414</v>
      </c>
      <c r="E227" s="1">
        <f t="shared" si="22"/>
        <v>-8.485281374238566</v>
      </c>
      <c r="F227" s="2">
        <f t="shared" si="23"/>
        <v>-6.4852813742385695</v>
      </c>
      <c r="G227" s="1">
        <f t="shared" si="24"/>
        <v>-7.6568542494923815</v>
      </c>
      <c r="H227" s="1">
        <f t="shared" si="25"/>
        <v>-5.6568542494923806</v>
      </c>
      <c r="I227" s="1">
        <f t="shared" si="26"/>
        <v>-7.0710678118654773</v>
      </c>
      <c r="J227" s="1">
        <f t="shared" si="27"/>
        <v>-7.0710678118654746</v>
      </c>
    </row>
    <row r="228" spans="3:10">
      <c r="C228">
        <v>226</v>
      </c>
      <c r="D228" s="1">
        <f t="shared" si="21"/>
        <v>3.9444441095071849</v>
      </c>
      <c r="E228" s="1">
        <f t="shared" si="22"/>
        <v>-8.5449573720432763</v>
      </c>
      <c r="F228" s="2">
        <f t="shared" si="23"/>
        <v>-6.6430338133272686</v>
      </c>
      <c r="G228" s="1">
        <f t="shared" si="24"/>
        <v>-7.5523950641916269</v>
      </c>
      <c r="H228" s="1">
        <f t="shared" si="25"/>
        <v>-5.6152054552209583</v>
      </c>
      <c r="I228" s="1">
        <f t="shared" si="26"/>
        <v>-6.9465837045899725</v>
      </c>
      <c r="J228" s="1">
        <f t="shared" si="27"/>
        <v>-7.1933980033865117</v>
      </c>
    </row>
    <row r="229" spans="3:10">
      <c r="C229">
        <v>227</v>
      </c>
      <c r="D229" s="1">
        <f t="shared" si="21"/>
        <v>3.961897402027128</v>
      </c>
      <c r="E229" s="1">
        <f t="shared" si="22"/>
        <v>-8.5998037023854987</v>
      </c>
      <c r="F229" s="2">
        <f t="shared" si="23"/>
        <v>-6.819949217962435</v>
      </c>
      <c r="G229" s="1">
        <f t="shared" si="24"/>
        <v>-7.436523017983129</v>
      </c>
      <c r="H229" s="1">
        <f t="shared" si="25"/>
        <v>-5.5724834110332333</v>
      </c>
      <c r="I229" s="1">
        <f t="shared" si="26"/>
        <v>-6.8199836006249859</v>
      </c>
      <c r="J229" s="1">
        <f t="shared" si="27"/>
        <v>-7.3135370161917042</v>
      </c>
    </row>
    <row r="230" spans="3:10">
      <c r="C230">
        <v>228</v>
      </c>
      <c r="D230" s="1">
        <f t="shared" si="21"/>
        <v>3.9793506945470716</v>
      </c>
      <c r="E230" s="1">
        <f t="shared" si="22"/>
        <v>-8.6476012650561902</v>
      </c>
      <c r="F230" s="2">
        <f t="shared" si="23"/>
        <v>-7.0156248731384245</v>
      </c>
      <c r="G230" s="1">
        <f t="shared" si="24"/>
        <v>-7.3093400523384755</v>
      </c>
      <c r="H230" s="1">
        <f t="shared" si="25"/>
        <v>-5.5293352221836347</v>
      </c>
      <c r="I230" s="1">
        <f t="shared" si="26"/>
        <v>-6.6913060635885815</v>
      </c>
      <c r="J230" s="1">
        <f t="shared" si="27"/>
        <v>-7.4314482547739438</v>
      </c>
    </row>
    <row r="231" spans="3:10">
      <c r="C231">
        <v>229</v>
      </c>
      <c r="D231" s="1">
        <f t="shared" si="21"/>
        <v>3.9968039870670147</v>
      </c>
      <c r="E231" s="1">
        <f t="shared" si="22"/>
        <v>-8.6861816340376876</v>
      </c>
      <c r="F231" s="2">
        <f t="shared" si="23"/>
        <v>-7.2294240473880613</v>
      </c>
      <c r="G231" s="1">
        <f t="shared" si="24"/>
        <v>-7.170995623800696</v>
      </c>
      <c r="H231" s="1">
        <f t="shared" si="25"/>
        <v>-5.4864019301481779</v>
      </c>
      <c r="I231" s="1">
        <f t="shared" si="26"/>
        <v>-6.5605902899050728</v>
      </c>
      <c r="J231" s="1">
        <f t="shared" si="27"/>
        <v>-7.5470958022277204</v>
      </c>
    </row>
    <row r="232" spans="3:10">
      <c r="C232">
        <v>230</v>
      </c>
      <c r="D232" s="1">
        <f t="shared" si="21"/>
        <v>4.0142572795869578</v>
      </c>
      <c r="E232" s="1">
        <f t="shared" si="22"/>
        <v>-8.7134513162384746</v>
      </c>
      <c r="F232" s="2">
        <f t="shared" si="23"/>
        <v>-7.4604825098588581</v>
      </c>
      <c r="G232" s="1">
        <f t="shared" si="24"/>
        <v>-7.0216861190641335</v>
      </c>
      <c r="H232" s="1">
        <f t="shared" si="25"/>
        <v>-5.4443152583004881</v>
      </c>
      <c r="I232" s="1">
        <f t="shared" si="26"/>
        <v>-6.4278760968653952</v>
      </c>
      <c r="J232" s="1">
        <f t="shared" si="27"/>
        <v>-7.660444431189779</v>
      </c>
    </row>
    <row r="233" spans="3:10">
      <c r="C233">
        <v>231</v>
      </c>
      <c r="D233" s="1">
        <f t="shared" si="21"/>
        <v>4.0317105721069009</v>
      </c>
      <c r="E233" s="1">
        <f t="shared" si="22"/>
        <v>-8.7274151971829959</v>
      </c>
      <c r="F233" s="2">
        <f t="shared" si="23"/>
        <v>-7.7077175487337488</v>
      </c>
      <c r="G233" s="1">
        <f t="shared" si="24"/>
        <v>-6.861654043683906</v>
      </c>
      <c r="H233" s="1">
        <f t="shared" si="25"/>
        <v>-5.4036944055041678</v>
      </c>
      <c r="I233" s="1">
        <f t="shared" si="26"/>
        <v>-6.2932039104983781</v>
      </c>
      <c r="J233" s="1">
        <f t="shared" si="27"/>
        <v>-7.7714596145697055</v>
      </c>
    </row>
    <row r="234" spans="3:10">
      <c r="C234">
        <v>232</v>
      </c>
      <c r="D234" s="1">
        <f t="shared" si="21"/>
        <v>4.0491638646268449</v>
      </c>
      <c r="E234" s="1">
        <f t="shared" si="22"/>
        <v>-8.7261989166256146</v>
      </c>
      <c r="F234" s="2">
        <f t="shared" si="23"/>
        <v>-7.9698393923258788</v>
      </c>
      <c r="G234" s="1">
        <f t="shared" si="24"/>
        <v>-6.6911869883231176</v>
      </c>
      <c r="H234" s="1">
        <f t="shared" si="25"/>
        <v>-5.3651429032819937</v>
      </c>
      <c r="I234" s="1">
        <f t="shared" si="26"/>
        <v>-6.1566147532565809</v>
      </c>
      <c r="J234" s="1">
        <f t="shared" si="27"/>
        <v>-7.8801075360672215</v>
      </c>
    </row>
    <row r="235" spans="3:10">
      <c r="C235">
        <v>233</v>
      </c>
      <c r="D235" s="1">
        <f t="shared" si="21"/>
        <v>4.066617157146788</v>
      </c>
      <c r="E235" s="1">
        <f t="shared" si="22"/>
        <v>-8.7080699287793699</v>
      </c>
      <c r="F235" s="2">
        <f t="shared" si="23"/>
        <v>-8.245364907849801</v>
      </c>
      <c r="G235" s="1">
        <f t="shared" si="24"/>
        <v>-6.5106163775292378</v>
      </c>
      <c r="H235" s="1">
        <f t="shared" si="25"/>
        <v>-5.3292455519119324</v>
      </c>
      <c r="I235" s="1">
        <f t="shared" si="26"/>
        <v>-6.0181502315204831</v>
      </c>
      <c r="J235" s="1">
        <f t="shared" si="27"/>
        <v>-7.9863551004729283</v>
      </c>
    </row>
    <row r="236" spans="3:10">
      <c r="C236">
        <v>234</v>
      </c>
      <c r="D236" s="1">
        <f t="shared" si="21"/>
        <v>4.0840704496667311</v>
      </c>
      <c r="E236" s="1">
        <f t="shared" si="22"/>
        <v>-8.6714570162595717</v>
      </c>
      <c r="F236" s="2">
        <f t="shared" si="23"/>
        <v>-8.5326334279144191</v>
      </c>
      <c r="G236" s="1">
        <f t="shared" si="24"/>
        <v>-6.3203160070896818</v>
      </c>
      <c r="H236" s="1">
        <f t="shared" si="25"/>
        <v>-5.2965654504146338</v>
      </c>
      <c r="I236" s="1">
        <f t="shared" si="26"/>
        <v>-5.8778525229247327</v>
      </c>
      <c r="J236" s="1">
        <f t="shared" si="27"/>
        <v>-8.0901699437494727</v>
      </c>
    </row>
    <row r="237" spans="3:10">
      <c r="C237">
        <v>235</v>
      </c>
      <c r="D237" s="1">
        <f t="shared" si="21"/>
        <v>4.1015237421866741</v>
      </c>
      <c r="E237" s="1">
        <f t="shared" si="22"/>
        <v>-8.6149680437814293</v>
      </c>
      <c r="F237" s="2">
        <f t="shared" si="23"/>
        <v>-8.8298245314678923</v>
      </c>
      <c r="G237" s="1">
        <f t="shared" si="24"/>
        <v>-6.1207003770463286</v>
      </c>
      <c r="H237" s="1">
        <f t="shared" si="25"/>
        <v>-5.2676411349388559</v>
      </c>
      <c r="I237" s="1">
        <f t="shared" si="26"/>
        <v>-5.735764363510464</v>
      </c>
      <c r="J237" s="1">
        <f t="shared" si="27"/>
        <v>-8.1915204428899155</v>
      </c>
    </row>
    <row r="238" spans="3:10">
      <c r="C238">
        <v>236</v>
      </c>
      <c r="D238" s="1">
        <f t="shared" si="21"/>
        <v>4.1189770347066181</v>
      </c>
      <c r="E238" s="1">
        <f t="shared" si="22"/>
        <v>-8.537405756934163</v>
      </c>
      <c r="F238" s="2">
        <f t="shared" si="23"/>
        <v>-9.1349775845089081</v>
      </c>
      <c r="G238" s="1">
        <f t="shared" si="24"/>
        <v>-5.912222828443273</v>
      </c>
      <c r="H238" s="1">
        <f t="shared" si="25"/>
        <v>-5.2429838395223385</v>
      </c>
      <c r="I238" s="1">
        <f t="shared" si="26"/>
        <v>-5.5919290347074657</v>
      </c>
      <c r="J238" s="1">
        <f t="shared" si="27"/>
        <v>-8.2903757255504189</v>
      </c>
    </row>
    <row r="239" spans="3:10">
      <c r="C239">
        <v>237</v>
      </c>
      <c r="D239" s="1">
        <f t="shared" si="21"/>
        <v>4.1364303272265612</v>
      </c>
      <c r="E239" s="1">
        <f t="shared" si="22"/>
        <v>-8.437781452770631</v>
      </c>
      <c r="F239" s="2">
        <f t="shared" si="23"/>
        <v>-9.4460128265951955</v>
      </c>
      <c r="G239" s="1">
        <f t="shared" si="24"/>
        <v>-5.6953734928379314</v>
      </c>
      <c r="H239" s="1">
        <f t="shared" si="25"/>
        <v>-5.2230748926086035</v>
      </c>
      <c r="I239" s="1">
        <f t="shared" si="26"/>
        <v>-5.4463903501502697</v>
      </c>
      <c r="J239" s="1">
        <f t="shared" si="27"/>
        <v>-8.3867056794542414</v>
      </c>
    </row>
    <row r="240" spans="3:10">
      <c r="C240">
        <v>238</v>
      </c>
      <c r="D240" s="1">
        <f t="shared" si="21"/>
        <v>4.1538836197465043</v>
      </c>
      <c r="E240" s="1">
        <f t="shared" si="22"/>
        <v>-8.3153263722660711</v>
      </c>
      <c r="F240" s="2">
        <f t="shared" si="23"/>
        <v>-9.7607537722415891</v>
      </c>
      <c r="G240" s="1">
        <f t="shared" si="24"/>
        <v>-5.4706770645169573</v>
      </c>
      <c r="H240" s="1">
        <f t="shared" si="25"/>
        <v>-5.2083632620379641</v>
      </c>
      <c r="I240" s="1">
        <f t="shared" si="26"/>
        <v>-5.2991926423320503</v>
      </c>
      <c r="J240" s="1">
        <f t="shared" si="27"/>
        <v>-8.4804809615642593</v>
      </c>
    </row>
    <row r="241" spans="3:10">
      <c r="C241">
        <v>239</v>
      </c>
      <c r="D241" s="1">
        <f t="shared" si="21"/>
        <v>4.1713369122664474</v>
      </c>
      <c r="E241" s="1">
        <f t="shared" si="22"/>
        <v>-8.1695006896572</v>
      </c>
      <c r="F241" s="2">
        <f t="shared" si="23"/>
        <v>-10.076950681890036</v>
      </c>
      <c r="G241" s="1">
        <f t="shared" si="24"/>
        <v>-5.2386904062219308</v>
      </c>
      <c r="H241" s="1">
        <f t="shared" si="25"/>
        <v>-5.1992632605068145</v>
      </c>
      <c r="I241" s="1">
        <f t="shared" si="26"/>
        <v>-5.1503807491005453</v>
      </c>
      <c r="J241" s="1">
        <f t="shared" si="27"/>
        <v>-8.571673007021122</v>
      </c>
    </row>
    <row r="242" spans="3:10">
      <c r="C242">
        <v>240</v>
      </c>
      <c r="D242" s="1">
        <f t="shared" si="21"/>
        <v>4.1887902047863905</v>
      </c>
      <c r="E242" s="1">
        <f t="shared" si="22"/>
        <v>-8.0000000000000053</v>
      </c>
      <c r="F242" s="2">
        <f t="shared" si="23"/>
        <v>-10.392304845413259</v>
      </c>
      <c r="G242" s="1">
        <f t="shared" si="24"/>
        <v>-5.0000000000000071</v>
      </c>
      <c r="H242" s="1">
        <f t="shared" si="25"/>
        <v>-5.196152422706632</v>
      </c>
      <c r="I242" s="1">
        <f t="shared" si="26"/>
        <v>-5.0000000000000044</v>
      </c>
      <c r="J242" s="1">
        <f t="shared" si="27"/>
        <v>-8.6602540378443837</v>
      </c>
    </row>
    <row r="243" spans="3:10">
      <c r="C243">
        <v>241</v>
      </c>
      <c r="D243" s="1">
        <f t="shared" si="21"/>
        <v>4.2062434973063345</v>
      </c>
      <c r="E243" s="1">
        <f t="shared" si="22"/>
        <v>-7.8067592336925893</v>
      </c>
      <c r="F243" s="2">
        <f t="shared" si="23"/>
        <v>-10.704493412208057</v>
      </c>
      <c r="G243" s="1">
        <f t="shared" si="24"/>
        <v>-4.7552192555488482</v>
      </c>
      <c r="H243" s="1">
        <f t="shared" si="25"/>
        <v>-5.1993695645168332</v>
      </c>
      <c r="I243" s="1">
        <f t="shared" si="26"/>
        <v>-4.8480962024633687</v>
      </c>
      <c r="J243" s="1">
        <f t="shared" si="27"/>
        <v>-8.7461970713939596</v>
      </c>
    </row>
    <row r="244" spans="3:10">
      <c r="C244">
        <v>242</v>
      </c>
      <c r="D244" s="1">
        <f t="shared" si="21"/>
        <v>4.2236967898262776</v>
      </c>
      <c r="E244" s="1">
        <f t="shared" si="22"/>
        <v>-7.5899539548983004</v>
      </c>
      <c r="F244" s="2">
        <f t="shared" si="23"/>
        <v>-11.011194495942643</v>
      </c>
      <c r="G244" s="1">
        <f t="shared" si="24"/>
        <v>-4.5049856891189499</v>
      </c>
      <c r="H244" s="1">
        <f t="shared" si="25"/>
        <v>-5.2092130337378411</v>
      </c>
      <c r="I244" s="1">
        <f t="shared" si="26"/>
        <v>-4.6947156278589075</v>
      </c>
      <c r="J244" s="1">
        <f t="shared" si="27"/>
        <v>-8.8294759285892699</v>
      </c>
    </row>
    <row r="245" spans="3:10">
      <c r="C245">
        <v>243</v>
      </c>
      <c r="D245" s="1">
        <f t="shared" si="21"/>
        <v>4.2411500823462207</v>
      </c>
      <c r="E245" s="1">
        <f t="shared" si="22"/>
        <v>-7.3499990294648692</v>
      </c>
      <c r="F245" s="2">
        <f t="shared" si="23"/>
        <v>-11.31011227901031</v>
      </c>
      <c r="G245" s="1">
        <f t="shared" si="24"/>
        <v>-4.2499579866662716</v>
      </c>
      <c r="H245" s="1">
        <f t="shared" si="25"/>
        <v>-5.225939160916635</v>
      </c>
      <c r="I245" s="1">
        <f t="shared" si="26"/>
        <v>-4.5399049973954693</v>
      </c>
      <c r="J245" s="1">
        <f t="shared" si="27"/>
        <v>-8.9100652418836788</v>
      </c>
    </row>
    <row r="246" spans="3:10">
      <c r="C246">
        <v>244</v>
      </c>
      <c r="D246" s="1">
        <f t="shared" si="21"/>
        <v>4.2586033748661638</v>
      </c>
      <c r="E246" s="1">
        <f t="shared" si="22"/>
        <v>-7.0875446767541357</v>
      </c>
      <c r="F246" s="2">
        <f t="shared" si="23"/>
        <v>-11.599001841741599</v>
      </c>
      <c r="G246" s="1">
        <f t="shared" si="24"/>
        <v>-3.9908129655119602</v>
      </c>
      <c r="H246" s="1">
        <f t="shared" si="25"/>
        <v>-5.2497609178413427</v>
      </c>
      <c r="I246" s="1">
        <f t="shared" si="26"/>
        <v>-4.3837114678907776</v>
      </c>
      <c r="J246" s="1">
        <f t="shared" si="27"/>
        <v>-8.9879404629916682</v>
      </c>
    </row>
    <row r="247" spans="3:10">
      <c r="C247">
        <v>245</v>
      </c>
      <c r="D247" s="1">
        <f t="shared" si="21"/>
        <v>4.2760566673861078</v>
      </c>
      <c r="E247" s="1">
        <f t="shared" si="22"/>
        <v>-6.8034699484572645</v>
      </c>
      <c r="F247" s="2">
        <f t="shared" si="23"/>
        <v>-11.875693444439804</v>
      </c>
      <c r="G247" s="1">
        <f t="shared" si="24"/>
        <v>-3.7282424492594513</v>
      </c>
      <c r="H247" s="1">
        <f t="shared" si="25"/>
        <v>-5.2808467902687841</v>
      </c>
      <c r="I247" s="1">
        <f t="shared" si="26"/>
        <v>-4.2261826174069919</v>
      </c>
      <c r="J247" s="1">
        <f t="shared" si="27"/>
        <v>-9.0630778703665005</v>
      </c>
    </row>
    <row r="248" spans="3:10">
      <c r="C248">
        <v>246</v>
      </c>
      <c r="D248" s="1">
        <f t="shared" si="21"/>
        <v>4.2935099599060509</v>
      </c>
      <c r="E248" s="1">
        <f t="shared" si="22"/>
        <v>-6.4988737056594932</v>
      </c>
      <c r="F248" s="2">
        <f t="shared" si="23"/>
        <v>-12.138115996296161</v>
      </c>
      <c r="G248" s="1">
        <f t="shared" si="24"/>
        <v>-3.4629500711417065</v>
      </c>
      <c r="H248" s="1">
        <f t="shared" si="25"/>
        <v>-5.3193198704042608</v>
      </c>
      <c r="I248" s="1">
        <f t="shared" si="26"/>
        <v>-4.0673664307580006</v>
      </c>
      <c r="J248" s="1">
        <f t="shared" si="27"/>
        <v>-9.1354545764260102</v>
      </c>
    </row>
    <row r="249" spans="3:10">
      <c r="C249">
        <v>247</v>
      </c>
      <c r="D249" s="1">
        <f t="shared" si="21"/>
        <v>4.310963252425994</v>
      </c>
      <c r="E249" s="1">
        <f t="shared" si="22"/>
        <v>-6.1750631928260749</v>
      </c>
      <c r="F249" s="2">
        <f t="shared" si="23"/>
        <v>-12.384319454146999</v>
      </c>
      <c r="G249" s="1">
        <f t="shared" si="24"/>
        <v>-3.1956480213191929</v>
      </c>
      <c r="H249" s="1">
        <f t="shared" si="25"/>
        <v>-5.3652571735813304</v>
      </c>
      <c r="I249" s="1">
        <f t="shared" si="26"/>
        <v>-3.9073112848927383</v>
      </c>
      <c r="J249" s="1">
        <f t="shared" si="27"/>
        <v>-9.2050485345244031</v>
      </c>
    </row>
    <row r="250" spans="3:10">
      <c r="C250">
        <v>248</v>
      </c>
      <c r="D250" s="1">
        <f t="shared" si="21"/>
        <v>4.3284165449459371</v>
      </c>
      <c r="E250" s="1">
        <f t="shared" si="22"/>
        <v>-5.8335403337086689</v>
      </c>
      <c r="F250" s="2">
        <f t="shared" si="23"/>
        <v>-12.612495905756232</v>
      </c>
      <c r="G250" s="1">
        <f t="shared" si="24"/>
        <v>-2.9270537539222987</v>
      </c>
      <c r="H250" s="1">
        <f t="shared" si="25"/>
        <v>-5.4186891824961068</v>
      </c>
      <c r="I250" s="1">
        <f t="shared" si="26"/>
        <v>-3.7460659341591231</v>
      </c>
      <c r="J250" s="1">
        <f t="shared" si="27"/>
        <v>-9.2718385456678725</v>
      </c>
    </row>
    <row r="251" spans="3:10">
      <c r="C251">
        <v>249</v>
      </c>
      <c r="D251" s="1">
        <f t="shared" si="21"/>
        <v>4.3458698374658802</v>
      </c>
      <c r="E251" s="1">
        <f t="shared" si="22"/>
        <v>-5.4759858991285597</v>
      </c>
      <c r="F251" s="2">
        <f t="shared" si="23"/>
        <v>-12.820999106716311</v>
      </c>
      <c r="G251" s="1">
        <f t="shared" si="24"/>
        <v>-2.6578866698271026</v>
      </c>
      <c r="H251" s="1">
        <f t="shared" si="25"/>
        <v>-5.479599621241066</v>
      </c>
      <c r="I251" s="1">
        <f t="shared" si="26"/>
        <v>-3.5836794954530071</v>
      </c>
      <c r="J251" s="1">
        <f t="shared" si="27"/>
        <v>-9.3358042649720154</v>
      </c>
    </row>
    <row r="252" spans="3:10">
      <c r="C252">
        <v>250</v>
      </c>
      <c r="D252" s="1">
        <f t="shared" si="21"/>
        <v>4.3633231299858242</v>
      </c>
      <c r="E252" s="1">
        <f t="shared" si="22"/>
        <v>-5.1042417199080203</v>
      </c>
      <c r="F252" s="2">
        <f t="shared" si="23"/>
        <v>-13.00836225699978</v>
      </c>
      <c r="G252" s="1">
        <f t="shared" si="24"/>
        <v>-2.388864791271486</v>
      </c>
      <c r="H252" s="1">
        <f t="shared" si="25"/>
        <v>-5.5479254602628512</v>
      </c>
      <c r="I252" s="1">
        <f t="shared" si="26"/>
        <v>-3.4202014332566852</v>
      </c>
      <c r="J252" s="1">
        <f t="shared" si="27"/>
        <v>-9.3969262078590852</v>
      </c>
    </row>
    <row r="253" spans="3:10">
      <c r="C253">
        <v>251</v>
      </c>
      <c r="D253" s="1">
        <f t="shared" si="21"/>
        <v>4.3807764225057673</v>
      </c>
      <c r="E253" s="1">
        <f t="shared" si="22"/>
        <v>-4.7202911396374834</v>
      </c>
      <c r="F253" s="2">
        <f t="shared" si="23"/>
        <v>-13.173313822477002</v>
      </c>
      <c r="G253" s="1">
        <f t="shared" si="24"/>
        <v>-2.1207014444579175</v>
      </c>
      <c r="H253" s="1">
        <f t="shared" si="25"/>
        <v>-5.623557152242542</v>
      </c>
      <c r="I253" s="1">
        <f t="shared" si="26"/>
        <v>-3.2556815445715666</v>
      </c>
      <c r="J253" s="1">
        <f t="shared" si="27"/>
        <v>-9.4551857559931687</v>
      </c>
    </row>
    <row r="254" spans="3:10">
      <c r="C254">
        <v>252</v>
      </c>
      <c r="D254" s="1">
        <f t="shared" si="21"/>
        <v>4.3982297150257104</v>
      </c>
      <c r="E254" s="1">
        <f t="shared" si="22"/>
        <v>-4.3262379212492679</v>
      </c>
      <c r="F254" s="2">
        <f t="shared" si="23"/>
        <v>-13.314791228132149</v>
      </c>
      <c r="G254" s="1">
        <f t="shared" si="24"/>
        <v>-1.8541019662496869</v>
      </c>
      <c r="H254" s="1">
        <f t="shared" si="25"/>
        <v>-5.706339097770921</v>
      </c>
      <c r="I254" s="1">
        <f t="shared" si="26"/>
        <v>-3.0901699437494754</v>
      </c>
      <c r="J254" s="1">
        <f t="shared" si="27"/>
        <v>-9.5105651629515346</v>
      </c>
    </row>
    <row r="255" spans="3:10">
      <c r="C255">
        <v>253</v>
      </c>
      <c r="D255" s="1">
        <f t="shared" si="21"/>
        <v>4.4156830075456535</v>
      </c>
      <c r="E255" s="1">
        <f t="shared" si="22"/>
        <v>-3.9242838383083649</v>
      </c>
      <c r="F255" s="2">
        <f t="shared" si="23"/>
        <v>-13.431952273024034</v>
      </c>
      <c r="G255" s="1">
        <f t="shared" si="24"/>
        <v>-1.5897604509500756</v>
      </c>
      <c r="H255" s="1">
        <f t="shared" si="25"/>
        <v>-5.7960703385707069</v>
      </c>
      <c r="I255" s="1">
        <f t="shared" si="26"/>
        <v>-2.9237170472273712</v>
      </c>
      <c r="J255" s="1">
        <f t="shared" si="27"/>
        <v>-9.5630475596303537</v>
      </c>
    </row>
    <row r="256" spans="3:10">
      <c r="C256">
        <v>254</v>
      </c>
      <c r="D256" s="1">
        <f t="shared" si="21"/>
        <v>4.4331363000655974</v>
      </c>
      <c r="E256" s="1">
        <f t="shared" si="22"/>
        <v>-3.5167051963392932</v>
      </c>
      <c r="F256" s="2">
        <f t="shared" si="23"/>
        <v>-13.524184141996376</v>
      </c>
      <c r="G256" s="1">
        <f t="shared" si="24"/>
        <v>-1.3283565529578341</v>
      </c>
      <c r="H256" s="1">
        <f t="shared" si="25"/>
        <v>-5.8925054749082193</v>
      </c>
      <c r="I256" s="1">
        <f t="shared" si="26"/>
        <v>-2.7563735581699889</v>
      </c>
      <c r="J256" s="1">
        <f t="shared" si="27"/>
        <v>-9.6126169593831907</v>
      </c>
    </row>
    <row r="257" spans="3:10">
      <c r="C257">
        <v>255</v>
      </c>
      <c r="D257" s="1">
        <f t="shared" si="21"/>
        <v>4.4505895925855405</v>
      </c>
      <c r="E257" s="1">
        <f t="shared" si="22"/>
        <v>-3.1058285412302462</v>
      </c>
      <c r="F257" s="2">
        <f t="shared" si="23"/>
        <v>-13.59110991546882</v>
      </c>
      <c r="G257" s="1">
        <f t="shared" si="24"/>
        <v>-1.0705523608201641</v>
      </c>
      <c r="H257" s="1">
        <f t="shared" si="25"/>
        <v>-5.9953558027436697</v>
      </c>
      <c r="I257" s="1">
        <f t="shared" si="26"/>
        <v>-2.5881904510252065</v>
      </c>
      <c r="J257" s="1">
        <f t="shared" si="27"/>
        <v>-9.6592582628906829</v>
      </c>
    </row>
    <row r="258" spans="3:10">
      <c r="C258">
        <v>256</v>
      </c>
      <c r="D258" s="1">
        <f t="shared" si="21"/>
        <v>4.4680428851054836</v>
      </c>
      <c r="E258" s="1">
        <f t="shared" si="22"/>
        <v>-2.6940058206607036</v>
      </c>
      <c r="F258" s="2">
        <f t="shared" si="23"/>
        <v>-13.632592506048505</v>
      </c>
      <c r="G258" s="1">
        <f t="shared" si="24"/>
        <v>-0.81698935785584914</v>
      </c>
      <c r="H258" s="1">
        <f t="shared" si="25"/>
        <v>-6.1042906650978885</v>
      </c>
      <c r="I258" s="1">
        <f t="shared" si="26"/>
        <v>-2.4192189559966777</v>
      </c>
      <c r="J258" s="1">
        <f t="shared" si="27"/>
        <v>-9.7029572627599645</v>
      </c>
    </row>
    <row r="259" spans="3:10">
      <c r="C259">
        <v>257</v>
      </c>
      <c r="D259" s="1">
        <f t="shared" ref="D259:D322" si="28">RADIANS(C259)</f>
        <v>4.4854961776254267</v>
      </c>
      <c r="E259" s="1">
        <f t="shared" ref="E259:E322" si="29">($B$1+$B$2)*COS(D259) - $B$3*COS((($B$1+$B$2)/$B$2)*D259)</f>
        <v>-2.2835892704908671</v>
      </c>
      <c r="F259" s="2">
        <f t="shared" ref="F259:F322" si="30">($B$1+$B$2)*SIN(D259) - $B$3*SIN((($B$1+$B$2)/$B$2)*D259)</f>
        <v>-13.648735978890432</v>
      </c>
      <c r="G259" s="1">
        <f t="shared" ref="G259:G322" si="31">($B$1-$B$2)*COS(D259) + $B$3*COS((($B$1-$B$2)/$B$2)*D259)</f>
        <v>-0.56828548409960722</v>
      </c>
      <c r="H259" s="1">
        <f t="shared" ref="H259:H322" si="32">($B$1-$B$2)*SIN(D259) - $B$3*SIN((($B$1-$B$2)/$B$2)*D259)</f>
        <v>-6.2189390110684357</v>
      </c>
      <c r="I259" s="1">
        <f t="shared" ref="I259:I322" si="33">$B$1*COS(D259)</f>
        <v>-2.2495105434386526</v>
      </c>
      <c r="J259" s="1">
        <f t="shared" ref="J259:J322" si="34">$B$1*SIN(D259)</f>
        <v>-9.7437006478523518</v>
      </c>
    </row>
    <row r="260" spans="3:10">
      <c r="C260">
        <v>258</v>
      </c>
      <c r="D260" s="1">
        <f t="shared" si="28"/>
        <v>4.5029494701453698</v>
      </c>
      <c r="E260" s="1">
        <f t="shared" si="29"/>
        <v>-1.8769063010632312</v>
      </c>
      <c r="F260" s="2">
        <f t="shared" si="30"/>
        <v>-13.639884241395976</v>
      </c>
      <c r="G260" s="1">
        <f t="shared" si="31"/>
        <v>-0.3250323138243647</v>
      </c>
      <c r="H260" s="1">
        <f t="shared" si="32"/>
        <v>-6.3388911549156539</v>
      </c>
      <c r="I260" s="1">
        <f t="shared" si="33"/>
        <v>-2.079116908177598</v>
      </c>
      <c r="J260" s="1">
        <f t="shared" si="34"/>
        <v>-9.7814760073380551</v>
      </c>
    </row>
    <row r="261" spans="3:10">
      <c r="C261">
        <v>259</v>
      </c>
      <c r="D261" s="1">
        <f t="shared" si="28"/>
        <v>4.5204027626653138</v>
      </c>
      <c r="E261" s="1">
        <f t="shared" si="29"/>
        <v>-1.4762346583669292</v>
      </c>
      <c r="F261" s="2">
        <f t="shared" si="30"/>
        <v>-13.606617116657167</v>
      </c>
      <c r="G261" s="1">
        <f t="shared" si="31"/>
        <v>-8.7792362335053387E-2</v>
      </c>
      <c r="H261" s="1">
        <f t="shared" si="32"/>
        <v>-6.4637007266633182</v>
      </c>
      <c r="I261" s="1">
        <f t="shared" si="33"/>
        <v>-1.9080899537654461</v>
      </c>
      <c r="J261" s="1">
        <f t="shared" si="34"/>
        <v>-9.8162718344766393</v>
      </c>
    </row>
    <row r="262" spans="3:10">
      <c r="C262">
        <v>260</v>
      </c>
      <c r="D262" s="1">
        <f t="shared" si="28"/>
        <v>4.5378560551852569</v>
      </c>
      <c r="E262" s="1">
        <f t="shared" si="29"/>
        <v>-1.0837781320031639</v>
      </c>
      <c r="F262" s="2">
        <f t="shared" si="30"/>
        <v>-13.549743843715373</v>
      </c>
      <c r="G262" s="1">
        <f t="shared" si="31"/>
        <v>0.1429034649025136</v>
      </c>
      <c r="H262" s="1">
        <f t="shared" si="32"/>
        <v>-6.5928868047245857</v>
      </c>
      <c r="I262" s="1">
        <f t="shared" si="33"/>
        <v>-1.7364817766693033</v>
      </c>
      <c r="J262" s="1">
        <f t="shared" si="34"/>
        <v>-9.8480775301220795</v>
      </c>
    </row>
    <row r="263" spans="3:10">
      <c r="C263">
        <v>261</v>
      </c>
      <c r="D263" s="1">
        <f t="shared" si="28"/>
        <v>4.5553093477052</v>
      </c>
      <c r="E263" s="1">
        <f t="shared" si="29"/>
        <v>-0.7016430758978307</v>
      </c>
      <c r="F263" s="2">
        <f t="shared" si="30"/>
        <v>-13.47029407589155</v>
      </c>
      <c r="G263" s="1">
        <f t="shared" si="31"/>
        <v>0.36655826842804573</v>
      </c>
      <c r="H263" s="1">
        <f t="shared" si="32"/>
        <v>-6.7259362201761537</v>
      </c>
      <c r="I263" s="1">
        <f t="shared" si="33"/>
        <v>-1.5643446504023104</v>
      </c>
      <c r="J263" s="1">
        <f t="shared" si="34"/>
        <v>-9.8768834059513768</v>
      </c>
    </row>
    <row r="264" spans="3:10">
      <c r="C264">
        <v>262</v>
      </c>
      <c r="D264" s="1">
        <f t="shared" si="28"/>
        <v>4.5727626402251431</v>
      </c>
      <c r="E264" s="1">
        <f t="shared" si="29"/>
        <v>-0.33181599880307666</v>
      </c>
      <c r="F264" s="2">
        <f t="shared" si="30"/>
        <v>-13.369506475853635</v>
      </c>
      <c r="G264" s="1">
        <f t="shared" si="31"/>
        <v>0.58271138463232375</v>
      </c>
      <c r="H264" s="1">
        <f t="shared" si="32"/>
        <v>-6.86230602146615</v>
      </c>
      <c r="I264" s="1">
        <f t="shared" si="33"/>
        <v>-1.3917310096006583</v>
      </c>
      <c r="J264" s="1">
        <f t="shared" si="34"/>
        <v>-9.9026806874157032</v>
      </c>
    </row>
    <row r="265" spans="3:10">
      <c r="C265">
        <v>263</v>
      </c>
      <c r="D265" s="1">
        <f t="shared" si="28"/>
        <v>4.5902159327450871</v>
      </c>
      <c r="E265" s="1">
        <f t="shared" si="29"/>
        <v>2.3857530093024826E-2</v>
      </c>
      <c r="F265" s="2">
        <f t="shared" si="30"/>
        <v>-13.248815032413578</v>
      </c>
      <c r="G265" s="1">
        <f t="shared" si="31"/>
        <v>0.79094043847667772</v>
      </c>
      <c r="H265" s="1">
        <f t="shared" si="32"/>
        <v>-7.0014260875587979</v>
      </c>
      <c r="I265" s="1">
        <f t="shared" si="33"/>
        <v>-1.2186934340514717</v>
      </c>
      <c r="J265" s="1">
        <f t="shared" si="34"/>
        <v>-9.9254615164132218</v>
      </c>
    </row>
    <row r="266" spans="3:10">
      <c r="C266">
        <v>264</v>
      </c>
      <c r="D266" s="1">
        <f t="shared" si="28"/>
        <v>4.6076692252650302</v>
      </c>
      <c r="E266" s="1">
        <f t="shared" si="29"/>
        <v>0.36369242953805325</v>
      </c>
      <c r="F266" s="2">
        <f t="shared" si="30"/>
        <v>-13.109833249004229</v>
      </c>
      <c r="G266" s="1">
        <f t="shared" si="31"/>
        <v>0.9908632091439753</v>
      </c>
      <c r="H266" s="1">
        <f t="shared" si="32"/>
        <v>-7.1427018767945878</v>
      </c>
      <c r="I266" s="1">
        <f t="shared" si="33"/>
        <v>-1.0452846326765335</v>
      </c>
      <c r="J266" s="1">
        <f t="shared" si="34"/>
        <v>-9.9452189536827333</v>
      </c>
    </row>
    <row r="267" spans="3:10">
      <c r="C267">
        <v>265</v>
      </c>
      <c r="D267" s="1">
        <f t="shared" si="28"/>
        <v>4.6251225177849733</v>
      </c>
      <c r="E267" s="1">
        <f t="shared" si="29"/>
        <v>0.68618189459697776</v>
      </c>
      <c r="F267" s="2">
        <f t="shared" si="30"/>
        <v>-12.954336377100947</v>
      </c>
      <c r="G267" s="1">
        <f t="shared" si="31"/>
        <v>1.1821392995905506</v>
      </c>
      <c r="H267" s="1">
        <f t="shared" si="32"/>
        <v>-7.2855172980826266</v>
      </c>
      <c r="I267" s="1">
        <f t="shared" si="33"/>
        <v>-0.87155742747658249</v>
      </c>
      <c r="J267" s="1">
        <f t="shared" si="34"/>
        <v>-9.961946980917455</v>
      </c>
    </row>
    <row r="268" spans="3:10">
      <c r="C268">
        <v>266</v>
      </c>
      <c r="D268" s="1">
        <f t="shared" si="28"/>
        <v>4.6425758103049164</v>
      </c>
      <c r="E268" s="1">
        <f t="shared" si="29"/>
        <v>0.990013230355695</v>
      </c>
      <c r="F268" s="2">
        <f t="shared" si="30"/>
        <v>-12.78424188926949</v>
      </c>
      <c r="G268" s="1">
        <f t="shared" si="31"/>
        <v>1.3644716019236325</v>
      </c>
      <c r="H268" s="1">
        <f t="shared" si="32"/>
        <v>-7.4292376904445927</v>
      </c>
      <c r="I268" s="1">
        <f t="shared" si="33"/>
        <v>-0.6975647374412558</v>
      </c>
      <c r="J268" s="1">
        <f t="shared" si="34"/>
        <v>-9.9756405025982424</v>
      </c>
    </row>
    <row r="269" spans="3:10">
      <c r="C269">
        <v>267</v>
      </c>
      <c r="D269" s="1">
        <f t="shared" si="28"/>
        <v>4.6600291028248595</v>
      </c>
      <c r="E269" s="1">
        <f t="shared" si="29"/>
        <v>1.2740815576749736</v>
      </c>
      <c r="F269" s="2">
        <f t="shared" si="30"/>
        <v>-12.601588405804787</v>
      </c>
      <c r="G269" s="1">
        <f t="shared" si="31"/>
        <v>1.5376075515240561</v>
      </c>
      <c r="H269" s="1">
        <f t="shared" si="32"/>
        <v>-7.5732128964010679</v>
      </c>
      <c r="I269" s="1">
        <f t="shared" si="33"/>
        <v>-0.52335956242944304</v>
      </c>
      <c r="J269" s="1">
        <f t="shared" si="34"/>
        <v>-9.9862953475457381</v>
      </c>
    </row>
    <row r="270" spans="3:10">
      <c r="C270">
        <v>268</v>
      </c>
      <c r="D270" s="1">
        <f t="shared" si="28"/>
        <v>4.6774823953448035</v>
      </c>
      <c r="E270" s="1">
        <f t="shared" si="29"/>
        <v>1.5375012410376026</v>
      </c>
      <c r="F270" s="2">
        <f t="shared" si="30"/>
        <v>-12.408513305864664</v>
      </c>
      <c r="G270" s="1">
        <f t="shared" si="31"/>
        <v>1.7013401638631349</v>
      </c>
      <c r="H270" s="1">
        <f t="shared" si="32"/>
        <v>-7.7167804142326366</v>
      </c>
      <c r="I270" s="1">
        <f t="shared" si="33"/>
        <v>-0.3489949670250076</v>
      </c>
      <c r="J270" s="1">
        <f t="shared" si="34"/>
        <v>-9.993908270190957</v>
      </c>
    </row>
    <row r="271" spans="3:10">
      <c r="C271">
        <v>269</v>
      </c>
      <c r="D271" s="1">
        <f t="shared" si="28"/>
        <v>4.6949356878647466</v>
      </c>
      <c r="E271" s="1">
        <f t="shared" si="29"/>
        <v>1.779614913489145</v>
      </c>
      <c r="F271" s="2">
        <f t="shared" si="30"/>
        <v>-12.207229268412</v>
      </c>
      <c r="G271" s="1">
        <f t="shared" si="31"/>
        <v>1.8555088490213805</v>
      </c>
      <c r="H271" s="1">
        <f t="shared" si="32"/>
        <v>-7.8592686137628798</v>
      </c>
      <c r="I271" s="1">
        <f t="shared" si="33"/>
        <v>-0.17452406437283496</v>
      </c>
      <c r="J271" s="1">
        <f t="shared" si="34"/>
        <v>-9.9984769515639123</v>
      </c>
    </row>
    <row r="272" spans="3:10">
      <c r="C272">
        <v>270</v>
      </c>
      <c r="D272" s="1">
        <f t="shared" si="28"/>
        <v>4.7123889803846897</v>
      </c>
      <c r="E272" s="1">
        <f t="shared" si="29"/>
        <v>1.9999999999999978</v>
      </c>
      <c r="F272" s="2">
        <f t="shared" si="30"/>
        <v>-12.000000000000002</v>
      </c>
      <c r="G272" s="1">
        <f t="shared" si="31"/>
        <v>1.9999999999999984</v>
      </c>
      <c r="H272" s="1">
        <f t="shared" si="32"/>
        <v>-7.9999999999999982</v>
      </c>
      <c r="I272" s="1">
        <f t="shared" si="33"/>
        <v>-1.83772268236293E-15</v>
      </c>
      <c r="J272" s="1">
        <f t="shared" si="34"/>
        <v>-10</v>
      </c>
    </row>
    <row r="273" spans="3:10">
      <c r="C273">
        <v>271</v>
      </c>
      <c r="D273" s="1">
        <f t="shared" si="28"/>
        <v>4.7298422729046328</v>
      </c>
      <c r="E273" s="1">
        <f t="shared" si="29"/>
        <v>2.1984726679839453</v>
      </c>
      <c r="F273" s="2">
        <f t="shared" si="30"/>
        <v>-11.789115415341398</v>
      </c>
      <c r="G273" s="1">
        <f t="shared" si="31"/>
        <v>2.1347473520179134</v>
      </c>
      <c r="H273" s="1">
        <f t="shared" si="32"/>
        <v>-8.1382945087393779</v>
      </c>
      <c r="I273" s="1">
        <f t="shared" si="33"/>
        <v>0.1745240643728313</v>
      </c>
      <c r="J273" s="1">
        <f t="shared" si="34"/>
        <v>-9.9984769515639123</v>
      </c>
    </row>
    <row r="274" spans="3:10">
      <c r="C274">
        <v>272</v>
      </c>
      <c r="D274" s="1">
        <f t="shared" si="28"/>
        <v>4.7472955654245768</v>
      </c>
      <c r="E274" s="1">
        <f t="shared" si="29"/>
        <v>2.3750891618976251</v>
      </c>
      <c r="F274" s="2">
        <f t="shared" si="30"/>
        <v>-11.576866542593622</v>
      </c>
      <c r="G274" s="1">
        <f t="shared" si="31"/>
        <v>2.2597321111031503</v>
      </c>
      <c r="H274" s="1">
        <f t="shared" si="32"/>
        <v>-8.2734728180729</v>
      </c>
      <c r="I274" s="1">
        <f t="shared" si="33"/>
        <v>0.34899496702501281</v>
      </c>
      <c r="J274" s="1">
        <f t="shared" si="34"/>
        <v>-9.993908270190957</v>
      </c>
    </row>
    <row r="275" spans="3:10">
      <c r="C275">
        <v>273</v>
      </c>
      <c r="D275" s="1">
        <f t="shared" si="28"/>
        <v>4.7647488579445199</v>
      </c>
      <c r="E275" s="1">
        <f t="shared" si="29"/>
        <v>2.5301445075056339</v>
      </c>
      <c r="F275" s="2">
        <f t="shared" si="30"/>
        <v>-11.36552042830499</v>
      </c>
      <c r="G275" s="1">
        <f t="shared" si="31"/>
        <v>2.3749828514111626</v>
      </c>
      <c r="H275" s="1">
        <f t="shared" si="32"/>
        <v>-8.4048596596721108</v>
      </c>
      <c r="I275" s="1">
        <f t="shared" si="33"/>
        <v>0.52335956242943948</v>
      </c>
      <c r="J275" s="1">
        <f t="shared" si="34"/>
        <v>-9.9862953475457381</v>
      </c>
    </row>
    <row r="276" spans="3:10">
      <c r="C276">
        <v>274</v>
      </c>
      <c r="D276" s="1">
        <f t="shared" si="28"/>
        <v>4.782202150464463</v>
      </c>
      <c r="E276" s="1">
        <f t="shared" si="29"/>
        <v>2.6641686002147065</v>
      </c>
      <c r="F276" s="2">
        <f t="shared" si="30"/>
        <v>-11.157295316966295</v>
      </c>
      <c r="G276" s="1">
        <f t="shared" si="31"/>
        <v>2.4805751818296398</v>
      </c>
      <c r="H276" s="1">
        <f t="shared" si="32"/>
        <v>-8.5317871137125927</v>
      </c>
      <c r="I276" s="1">
        <f t="shared" si="33"/>
        <v>0.69756473744125214</v>
      </c>
      <c r="J276" s="1">
        <f t="shared" si="34"/>
        <v>-9.9756405025982424</v>
      </c>
    </row>
    <row r="277" spans="3:10">
      <c r="C277">
        <v>275</v>
      </c>
      <c r="D277" s="1">
        <f t="shared" si="28"/>
        <v>4.7996554429844061</v>
      </c>
      <c r="E277" s="1">
        <f t="shared" si="29"/>
        <v>2.7779197205407735</v>
      </c>
      <c r="F277" s="2">
        <f t="shared" si="30"/>
        <v>-10.954336377100951</v>
      </c>
      <c r="G277" s="1">
        <f t="shared" si="31"/>
        <v>2.5766311835530806</v>
      </c>
      <c r="H277" s="1">
        <f t="shared" si="32"/>
        <v>-8.6535978713852995</v>
      </c>
      <c r="I277" s="1">
        <f t="shared" si="33"/>
        <v>0.87155742747657894</v>
      </c>
      <c r="J277" s="1">
        <f t="shared" si="34"/>
        <v>-9.961946980917455</v>
      </c>
    </row>
    <row r="278" spans="3:10">
      <c r="C278">
        <v>276</v>
      </c>
      <c r="D278" s="1">
        <f t="shared" si="28"/>
        <v>4.8171087355043491</v>
      </c>
      <c r="E278" s="1">
        <f t="shared" si="29"/>
        <v>2.8723755479617319</v>
      </c>
      <c r="F278" s="2">
        <f t="shared" si="30"/>
        <v>-10.758692239834335</v>
      </c>
      <c r="G278" s="1">
        <f t="shared" si="31"/>
        <v>2.6633186214264271</v>
      </c>
      <c r="H278" s="1">
        <f t="shared" si="32"/>
        <v>-8.7696484490977848</v>
      </c>
      <c r="I278" s="1">
        <f t="shared" si="33"/>
        <v>1.0452846326765299</v>
      </c>
      <c r="J278" s="1">
        <f t="shared" si="34"/>
        <v>-9.9452189536827333</v>
      </c>
    </row>
    <row r="279" spans="3:10">
      <c r="C279">
        <v>277</v>
      </c>
      <c r="D279" s="1">
        <f t="shared" si="28"/>
        <v>4.8345620280242931</v>
      </c>
      <c r="E279" s="1">
        <f t="shared" si="29"/>
        <v>2.9487217718165617</v>
      </c>
      <c r="F279" s="2">
        <f t="shared" si="30"/>
        <v>-10.572292606978149</v>
      </c>
      <c r="G279" s="1">
        <f t="shared" si="31"/>
        <v>2.7408499329590343</v>
      </c>
      <c r="H279" s="1">
        <f t="shared" si="32"/>
        <v>-8.8793123387023591</v>
      </c>
      <c r="I279" s="1">
        <f t="shared" si="33"/>
        <v>1.2186934340514768</v>
      </c>
      <c r="J279" s="1">
        <f t="shared" si="34"/>
        <v>-9.9254615164132201</v>
      </c>
    </row>
    <row r="280" spans="3:10">
      <c r="C280">
        <v>278</v>
      </c>
      <c r="D280" s="1">
        <f t="shared" si="28"/>
        <v>4.8520153205442362</v>
      </c>
      <c r="E280" s="1">
        <f t="shared" si="29"/>
        <v>3.0083384242385018</v>
      </c>
      <c r="F280" s="2">
        <f t="shared" si="30"/>
        <v>-10.396927173944057</v>
      </c>
      <c r="G280" s="1">
        <f t="shared" si="31"/>
        <v>2.8094809999933759</v>
      </c>
      <c r="H280" s="1">
        <f t="shared" si="32"/>
        <v>-8.9819830783989723</v>
      </c>
      <c r="I280" s="1">
        <f t="shared" si="33"/>
        <v>1.3917310096006545</v>
      </c>
      <c r="J280" s="1">
        <f t="shared" si="34"/>
        <v>-9.9026806874157032</v>
      </c>
    </row>
    <row r="281" spans="3:10">
      <c r="C281">
        <v>279</v>
      </c>
      <c r="D281" s="1">
        <f t="shared" si="28"/>
        <v>4.8694686130641793</v>
      </c>
      <c r="E281" s="1">
        <f t="shared" si="29"/>
        <v>3.0527840850677133</v>
      </c>
      <c r="F281" s="2">
        <f t="shared" si="30"/>
        <v>-10.234226098391758</v>
      </c>
      <c r="G281" s="1">
        <f t="shared" si="31"/>
        <v>2.8695097090717412</v>
      </c>
      <c r="H281" s="1">
        <f t="shared" si="32"/>
        <v>-9.0770772293460471</v>
      </c>
      <c r="I281" s="1">
        <f t="shared" si="33"/>
        <v>1.5643446504023069</v>
      </c>
      <c r="J281" s="1">
        <f t="shared" si="34"/>
        <v>-9.8768834059513786</v>
      </c>
    </row>
    <row r="282" spans="3:10">
      <c r="C282">
        <v>280</v>
      </c>
      <c r="D282" s="1">
        <f t="shared" si="28"/>
        <v>4.8869219055841224</v>
      </c>
      <c r="E282" s="1">
        <f t="shared" si="29"/>
        <v>3.0837781320031636</v>
      </c>
      <c r="F282" s="2">
        <f t="shared" si="30"/>
        <v>-10.085642228577623</v>
      </c>
      <c r="G282" s="1">
        <f t="shared" si="31"/>
        <v>2.9212743075733978</v>
      </c>
      <c r="H282" s="1">
        <f t="shared" si="32"/>
        <v>-9.1640372434707409</v>
      </c>
      <c r="I282" s="1">
        <f t="shared" si="33"/>
        <v>1.7364817766692997</v>
      </c>
      <c r="J282" s="1">
        <f t="shared" si="34"/>
        <v>-9.8480775301220813</v>
      </c>
    </row>
    <row r="283" spans="3:10">
      <c r="C283">
        <v>281</v>
      </c>
      <c r="D283" s="1">
        <f t="shared" si="28"/>
        <v>4.9043751981040664</v>
      </c>
      <c r="E283" s="1">
        <f t="shared" si="29"/>
        <v>3.1031812306701387</v>
      </c>
      <c r="F283" s="2">
        <f t="shared" si="30"/>
        <v>-9.9524352860867644</v>
      </c>
      <c r="G283" s="1">
        <f t="shared" si="31"/>
        <v>2.9651515636896617</v>
      </c>
      <c r="H283" s="1">
        <f t="shared" si="32"/>
        <v>-9.2423342084993081</v>
      </c>
      <c r="I283" s="1">
        <f t="shared" si="33"/>
        <v>1.908089953765451</v>
      </c>
      <c r="J283" s="1">
        <f t="shared" si="34"/>
        <v>-9.8162718344766393</v>
      </c>
    </row>
    <row r="284" spans="3:10">
      <c r="C284">
        <v>282</v>
      </c>
      <c r="D284" s="1">
        <f t="shared" si="28"/>
        <v>4.9218284906240095</v>
      </c>
      <c r="E284" s="1">
        <f t="shared" si="29"/>
        <v>3.1129742785630032</v>
      </c>
      <c r="F284" s="2">
        <f t="shared" si="30"/>
        <v>-9.8356581762153574</v>
      </c>
      <c r="G284" s="1">
        <f t="shared" si="31"/>
        <v>3.0015547392597912</v>
      </c>
      <c r="H284" s="1">
        <f t="shared" si="32"/>
        <v>-9.3114704568252336</v>
      </c>
      <c r="I284" s="1">
        <f t="shared" si="33"/>
        <v>2.0791169081775944</v>
      </c>
      <c r="J284" s="1">
        <f t="shared" si="34"/>
        <v>-9.7814760073380551</v>
      </c>
    </row>
    <row r="285" spans="3:10">
      <c r="C285">
        <v>283</v>
      </c>
      <c r="D285" s="1">
        <f t="shared" si="28"/>
        <v>4.9392817831439526</v>
      </c>
      <c r="E285" s="1">
        <f t="shared" si="29"/>
        <v>3.1152360337618989</v>
      </c>
      <c r="F285" s="2">
        <f t="shared" si="30"/>
        <v>-9.7361455759552111</v>
      </c>
      <c r="G285" s="1">
        <f t="shared" si="31"/>
        <v>3.0309313854022366</v>
      </c>
      <c r="H285" s="1">
        <f t="shared" si="32"/>
        <v>-9.3709820254953247</v>
      </c>
      <c r="I285" s="1">
        <f t="shared" si="33"/>
        <v>2.2495105434386491</v>
      </c>
      <c r="J285" s="1">
        <f t="shared" si="34"/>
        <v>-9.7437006478523518</v>
      </c>
    </row>
    <row r="286" spans="3:10">
      <c r="C286">
        <v>284</v>
      </c>
      <c r="D286" s="1">
        <f t="shared" si="28"/>
        <v>4.9567350756638957</v>
      </c>
      <c r="E286" s="1">
        <f t="shared" si="29"/>
        <v>3.1121196737313235</v>
      </c>
      <c r="F286" s="2">
        <f t="shared" si="30"/>
        <v>-9.6545049245754129</v>
      </c>
      <c r="G286" s="1">
        <f t="shared" si="31"/>
        <v>3.0537609717388352</v>
      </c>
      <c r="H286" s="1">
        <f t="shared" si="32"/>
        <v>-9.420440955318055</v>
      </c>
      <c r="I286" s="1">
        <f t="shared" si="33"/>
        <v>2.4192189559966746</v>
      </c>
      <c r="J286" s="1">
        <f t="shared" si="34"/>
        <v>-9.7029572627599663</v>
      </c>
    </row>
    <row r="287" spans="3:10">
      <c r="C287">
        <v>285</v>
      </c>
      <c r="D287" s="1">
        <f t="shared" si="28"/>
        <v>4.9741883681838388</v>
      </c>
      <c r="E287" s="1">
        <f t="shared" si="29"/>
        <v>3.1058285412302493</v>
      </c>
      <c r="F287" s="2">
        <f t="shared" si="30"/>
        <v>-9.5911099154688202</v>
      </c>
      <c r="G287" s="1">
        <f t="shared" si="31"/>
        <v>3.0705523608201659</v>
      </c>
      <c r="H287" s="1">
        <f t="shared" si="32"/>
        <v>-9.4594574178814224</v>
      </c>
      <c r="I287" s="1">
        <f t="shared" si="33"/>
        <v>2.588190451025203</v>
      </c>
      <c r="J287" s="1">
        <f t="shared" si="34"/>
        <v>-9.6592582628906847</v>
      </c>
    </row>
    <row r="288" spans="3:10">
      <c r="C288">
        <v>286</v>
      </c>
      <c r="D288" s="1">
        <f t="shared" si="28"/>
        <v>4.9916416607037828</v>
      </c>
      <c r="E288" s="1">
        <f t="shared" si="29"/>
        <v>3.0985913432686836</v>
      </c>
      <c r="F288" s="2">
        <f t="shared" si="30"/>
        <v>-9.5460965605232779</v>
      </c>
      <c r="G288" s="1">
        <f t="shared" si="31"/>
        <v>3.0818411401141486</v>
      </c>
      <c r="H288" s="1">
        <f t="shared" si="32"/>
        <v>-9.4876816601048848</v>
      </c>
      <c r="I288" s="1">
        <f t="shared" si="33"/>
        <v>2.7563735581699937</v>
      </c>
      <c r="J288" s="1">
        <f t="shared" si="34"/>
        <v>-9.6126169593831872</v>
      </c>
    </row>
    <row r="289" spans="3:10">
      <c r="C289">
        <v>287</v>
      </c>
      <c r="D289" s="1">
        <f t="shared" si="28"/>
        <v>5.0090949532237259</v>
      </c>
      <c r="E289" s="1">
        <f t="shared" si="29"/>
        <v>3.0926370750373251</v>
      </c>
      <c r="F289" s="2">
        <f t="shared" si="30"/>
        <v>-9.5193618700888134</v>
      </c>
      <c r="G289" s="1">
        <f t="shared" si="31"/>
        <v>3.0881868246137176</v>
      </c>
      <c r="H289" s="1">
        <f t="shared" si="32"/>
        <v>-9.5048057568378574</v>
      </c>
      <c r="I289" s="1">
        <f t="shared" si="33"/>
        <v>2.9237170472273672</v>
      </c>
      <c r="J289" s="1">
        <f t="shared" si="34"/>
        <v>-9.5630475596303537</v>
      </c>
    </row>
    <row r="290" spans="3:10">
      <c r="C290">
        <v>288</v>
      </c>
      <c r="D290" s="1">
        <f t="shared" si="28"/>
        <v>5.026548245743669</v>
      </c>
      <c r="E290" s="1">
        <f t="shared" si="29"/>
        <v>3.0901699437494741</v>
      </c>
      <c r="F290" s="2">
        <f t="shared" si="30"/>
        <v>-9.5105651629515364</v>
      </c>
      <c r="G290" s="1">
        <f t="shared" si="31"/>
        <v>3.0901699437494741</v>
      </c>
      <c r="H290" s="1">
        <f t="shared" si="32"/>
        <v>-9.5105651629515364</v>
      </c>
      <c r="I290" s="1">
        <f t="shared" si="33"/>
        <v>3.0901699437494723</v>
      </c>
      <c r="J290" s="1">
        <f t="shared" si="34"/>
        <v>-9.5105651629515364</v>
      </c>
    </row>
    <row r="291" spans="3:10">
      <c r="C291">
        <v>289</v>
      </c>
      <c r="D291" s="1">
        <f t="shared" si="28"/>
        <v>5.0440015382636121</v>
      </c>
      <c r="E291" s="1">
        <f t="shared" si="29"/>
        <v>3.0933445673342765</v>
      </c>
      <c r="F291" s="2">
        <f t="shared" si="30"/>
        <v>-9.5191319919066011</v>
      </c>
      <c r="G291" s="1">
        <f t="shared" si="31"/>
        <v>3.0883890268565892</v>
      </c>
      <c r="H291" s="1">
        <f t="shared" si="32"/>
        <v>-9.5047400573465275</v>
      </c>
      <c r="I291" s="1">
        <f t="shared" si="33"/>
        <v>3.255681544571563</v>
      </c>
      <c r="J291" s="1">
        <f t="shared" si="34"/>
        <v>-9.4551857559931705</v>
      </c>
    </row>
    <row r="292" spans="3:10">
      <c r="C292">
        <v>290</v>
      </c>
      <c r="D292" s="1">
        <f t="shared" si="28"/>
        <v>5.0614548307835561</v>
      </c>
      <c r="E292" s="1">
        <f t="shared" si="29"/>
        <v>3.1042417199080283</v>
      </c>
      <c r="F292" s="2">
        <f t="shared" si="30"/>
        <v>-9.5442606418620226</v>
      </c>
      <c r="G292" s="1">
        <f t="shared" si="31"/>
        <v>3.0834575019392103</v>
      </c>
      <c r="H292" s="1">
        <f t="shared" si="32"/>
        <v>-9.4871564723116837</v>
      </c>
      <c r="I292" s="1">
        <f t="shared" si="33"/>
        <v>3.4202014332566897</v>
      </c>
      <c r="J292" s="1">
        <f t="shared" si="34"/>
        <v>-9.3969262078590834</v>
      </c>
    </row>
    <row r="293" spans="3:10">
      <c r="C293">
        <v>291</v>
      </c>
      <c r="D293" s="1">
        <f t="shared" si="28"/>
        <v>5.0789081233034992</v>
      </c>
      <c r="E293" s="1">
        <f t="shared" si="29"/>
        <v>3.1248448899586569</v>
      </c>
      <c r="F293" s="2">
        <f t="shared" si="30"/>
        <v>-9.5849311292165265</v>
      </c>
      <c r="G293" s="1">
        <f t="shared" si="31"/>
        <v>3.0760005228977092</v>
      </c>
      <c r="H293" s="1">
        <f t="shared" si="32"/>
        <v>-9.4576872027141601</v>
      </c>
      <c r="I293" s="1">
        <f t="shared" si="33"/>
        <v>3.583679495453004</v>
      </c>
      <c r="J293" s="1">
        <f t="shared" si="34"/>
        <v>-9.3358042649720172</v>
      </c>
    </row>
    <row r="294" spans="3:10">
      <c r="C294">
        <v>292</v>
      </c>
      <c r="D294" s="1">
        <f t="shared" si="28"/>
        <v>5.0963614158234423</v>
      </c>
      <c r="E294" s="1">
        <f t="shared" si="29"/>
        <v>3.1570179082732253</v>
      </c>
      <c r="F294" s="2">
        <f t="shared" si="30"/>
        <v>-9.6399166038466628</v>
      </c>
      <c r="G294" s="1">
        <f t="shared" si="31"/>
        <v>3.0666517407322984</v>
      </c>
      <c r="H294" s="1">
        <f t="shared" si="32"/>
        <v>-9.4162524905724911</v>
      </c>
      <c r="I294" s="1">
        <f t="shared" si="33"/>
        <v>3.7460659341591196</v>
      </c>
      <c r="J294" s="1">
        <f t="shared" si="34"/>
        <v>-9.2718385456678742</v>
      </c>
    </row>
    <row r="295" spans="3:10">
      <c r="C295">
        <v>293</v>
      </c>
      <c r="D295" s="1">
        <f t="shared" si="28"/>
        <v>5.1138147083433854</v>
      </c>
      <c r="E295" s="1">
        <f t="shared" si="29"/>
        <v>3.2024838909164952</v>
      </c>
      <c r="F295" s="2">
        <f t="shared" si="30"/>
        <v>-9.7077970287115676</v>
      </c>
      <c r="G295" s="1">
        <f t="shared" si="31"/>
        <v>3.0560500345091883</v>
      </c>
      <c r="H295" s="1">
        <f t="shared" si="32"/>
        <v>-9.3628204816577156</v>
      </c>
      <c r="I295" s="1">
        <f t="shared" si="33"/>
        <v>3.9073112848927352</v>
      </c>
      <c r="J295" s="1">
        <f t="shared" si="34"/>
        <v>-9.2050485345244049</v>
      </c>
    </row>
    <row r="296" spans="3:10">
      <c r="C296">
        <v>294</v>
      </c>
      <c r="D296" s="1">
        <f t="shared" si="28"/>
        <v>5.1312680008633285</v>
      </c>
      <c r="E296" s="1">
        <f t="shared" si="29"/>
        <v>3.2628057281597078</v>
      </c>
      <c r="F296" s="2">
        <f t="shared" si="30"/>
        <v>-9.7869749871262588</v>
      </c>
      <c r="G296" s="1">
        <f t="shared" si="31"/>
        <v>3.0448362180710951</v>
      </c>
      <c r="H296" s="1">
        <f t="shared" si="32"/>
        <v>-9.2974074518773548</v>
      </c>
      <c r="I296" s="1">
        <f t="shared" si="33"/>
        <v>4.067366430757998</v>
      </c>
      <c r="J296" s="1">
        <f t="shared" si="34"/>
        <v>-9.1354545764260102</v>
      </c>
    </row>
    <row r="297" spans="3:10">
      <c r="C297">
        <v>295</v>
      </c>
      <c r="D297" s="1">
        <f t="shared" si="28"/>
        <v>5.1487212933832724</v>
      </c>
      <c r="E297" s="1">
        <f t="shared" si="29"/>
        <v>3.3393683333195145</v>
      </c>
      <c r="F297" s="2">
        <f t="shared" si="30"/>
        <v>-9.8756934444398041</v>
      </c>
      <c r="G297" s="1">
        <f t="shared" si="31"/>
        <v>3.0336497385917345</v>
      </c>
      <c r="H297" s="1">
        <f t="shared" si="32"/>
        <v>-9.2200778023176149</v>
      </c>
      <c r="I297" s="1">
        <f t="shared" si="33"/>
        <v>4.2261826174069963</v>
      </c>
      <c r="J297" s="1">
        <f t="shared" si="34"/>
        <v>-9.0630778703664987</v>
      </c>
    </row>
    <row r="298" spans="3:10">
      <c r="C298">
        <v>296</v>
      </c>
      <c r="D298" s="1">
        <f t="shared" si="28"/>
        <v>5.1661745859032155</v>
      </c>
      <c r="E298" s="1">
        <f t="shared" si="29"/>
        <v>3.4333628461837273</v>
      </c>
      <c r="F298" s="2">
        <f t="shared" si="30"/>
        <v>-9.972055269438405</v>
      </c>
      <c r="G298" s="1">
        <f t="shared" si="31"/>
        <v>3.0231253831132836</v>
      </c>
      <c r="H298" s="1">
        <f t="shared" si="32"/>
        <v>-9.1309438229453299</v>
      </c>
      <c r="I298" s="1">
        <f t="shared" si="33"/>
        <v>4.383711467890774</v>
      </c>
      <c r="J298" s="1">
        <f t="shared" si="34"/>
        <v>-8.9879404629916699</v>
      </c>
    </row>
    <row r="299" spans="3:10">
      <c r="C299">
        <v>297</v>
      </c>
      <c r="D299" s="1">
        <f t="shared" si="28"/>
        <v>5.1836278784231586</v>
      </c>
      <c r="E299" s="1">
        <f t="shared" si="29"/>
        <v>3.5457729642842537</v>
      </c>
      <c r="F299" s="2">
        <f t="shared" si="30"/>
        <v>-10.074044301510515</v>
      </c>
      <c r="G299" s="1">
        <f t="shared" si="31"/>
        <v>3.01389000916648</v>
      </c>
      <c r="H299" s="1">
        <f t="shared" si="32"/>
        <v>-9.0301652260972514</v>
      </c>
      <c r="I299" s="1">
        <f t="shared" si="33"/>
        <v>4.5399049973954666</v>
      </c>
      <c r="J299" s="1">
        <f t="shared" si="34"/>
        <v>-8.9100652418836788</v>
      </c>
    </row>
    <row r="300" spans="3:10">
      <c r="C300">
        <v>298</v>
      </c>
      <c r="D300" s="1">
        <f t="shared" si="28"/>
        <v>5.2010811709431017</v>
      </c>
      <c r="E300" s="1">
        <f t="shared" si="29"/>
        <v>3.677363551963075</v>
      </c>
      <c r="F300" s="2">
        <f t="shared" si="30"/>
        <v>-10.179547732671603</v>
      </c>
      <c r="G300" s="1">
        <f t="shared" si="31"/>
        <v>3.0065593154553021</v>
      </c>
      <c r="H300" s="1">
        <f t="shared" si="32"/>
        <v>-8.9179484520049925</v>
      </c>
      <c r="I300" s="1">
        <f t="shared" si="33"/>
        <v>4.694715627858904</v>
      </c>
      <c r="J300" s="1">
        <f t="shared" si="34"/>
        <v>-8.8294759285892717</v>
      </c>
    </row>
    <row r="301" spans="3:10">
      <c r="C301">
        <v>299</v>
      </c>
      <c r="D301" s="1">
        <f t="shared" si="28"/>
        <v>5.2185344634630457</v>
      </c>
      <c r="E301" s="1">
        <f t="shared" si="29"/>
        <v>3.8286716522195006</v>
      </c>
      <c r="F301" s="2">
        <f t="shared" si="30"/>
        <v>-10.286379559137444</v>
      </c>
      <c r="G301" s="1">
        <f t="shared" si="31"/>
        <v>3.0017346683925412</v>
      </c>
      <c r="H301" s="1">
        <f t="shared" si="32"/>
        <v>-8.7945457497134978</v>
      </c>
      <c r="I301" s="1">
        <f t="shared" si="33"/>
        <v>4.8480962024633731</v>
      </c>
      <c r="J301" s="1">
        <f t="shared" si="34"/>
        <v>-8.7461970713939561</v>
      </c>
    </row>
    <row r="302" spans="3:10">
      <c r="C302">
        <v>300</v>
      </c>
      <c r="D302" s="1">
        <f t="shared" si="28"/>
        <v>5.2359877559829888</v>
      </c>
      <c r="E302" s="1">
        <f t="shared" si="29"/>
        <v>4.0000000000000018</v>
      </c>
      <c r="F302" s="2">
        <f t="shared" si="30"/>
        <v>-10.392304845413262</v>
      </c>
      <c r="G302" s="1">
        <f t="shared" si="31"/>
        <v>3</v>
      </c>
      <c r="H302" s="1">
        <f t="shared" si="32"/>
        <v>-8.6602540378443855</v>
      </c>
      <c r="I302" s="1">
        <f t="shared" si="33"/>
        <v>5.0000000000000009</v>
      </c>
      <c r="J302" s="1">
        <f t="shared" si="34"/>
        <v>-8.6602540378443855</v>
      </c>
    </row>
    <row r="303" spans="3:10">
      <c r="C303">
        <v>301</v>
      </c>
      <c r="D303" s="1">
        <f t="shared" si="28"/>
        <v>5.2534410485029319</v>
      </c>
      <c r="E303" s="1">
        <f t="shared" si="29"/>
        <v>4.1914131081841024</v>
      </c>
      <c r="F303" s="2">
        <f t="shared" si="30"/>
        <v>-10.495064534960653</v>
      </c>
      <c r="G303" s="1">
        <f t="shared" si="31"/>
        <v>3.0019187923389401</v>
      </c>
      <c r="H303" s="1">
        <f t="shared" si="32"/>
        <v>-8.5154135507269828</v>
      </c>
      <c r="I303" s="1">
        <f t="shared" si="33"/>
        <v>5.1503807491005418</v>
      </c>
      <c r="J303" s="1">
        <f t="shared" si="34"/>
        <v>-8.5716730070211238</v>
      </c>
    </row>
    <row r="304" spans="3:10">
      <c r="C304">
        <v>302</v>
      </c>
      <c r="D304" s="1">
        <f t="shared" si="28"/>
        <v>5.270894341022875</v>
      </c>
      <c r="E304" s="1">
        <f t="shared" si="29"/>
        <v>4.4027359693308448</v>
      </c>
      <c r="F304" s="2">
        <f t="shared" si="30"/>
        <v>-10.592400535512633</v>
      </c>
      <c r="G304" s="1">
        <f t="shared" si="31"/>
        <v>3.0080311632143228</v>
      </c>
      <c r="H304" s="1">
        <f t="shared" si="32"/>
        <v>-8.3604062764648539</v>
      </c>
      <c r="I304" s="1">
        <f t="shared" si="33"/>
        <v>5.2991926423320468</v>
      </c>
      <c r="J304" s="1">
        <f t="shared" si="34"/>
        <v>-8.4804809615642611</v>
      </c>
    </row>
    <row r="305" spans="3:10">
      <c r="C305">
        <v>303</v>
      </c>
      <c r="D305" s="1">
        <f t="shared" si="28"/>
        <v>5.2883476335428181</v>
      </c>
      <c r="E305" s="1">
        <f t="shared" si="29"/>
        <v>4.6335553875900111</v>
      </c>
      <c r="F305" s="2">
        <f t="shared" si="30"/>
        <v>-10.68208080409498</v>
      </c>
      <c r="G305" s="1">
        <f t="shared" si="31"/>
        <v>3.0188510674024998</v>
      </c>
      <c r="H305" s="1">
        <f t="shared" si="32"/>
        <v>-8.1956541945181858</v>
      </c>
      <c r="I305" s="1">
        <f t="shared" si="33"/>
        <v>5.4463903501502662</v>
      </c>
      <c r="J305" s="1">
        <f t="shared" si="34"/>
        <v>-8.3867056794542432</v>
      </c>
    </row>
    <row r="306" spans="3:10">
      <c r="C306">
        <v>304</v>
      </c>
      <c r="D306" s="1">
        <f t="shared" si="28"/>
        <v>5.3058009260627621</v>
      </c>
      <c r="E306" s="1">
        <f t="shared" si="29"/>
        <v>4.8832239263637636</v>
      </c>
      <c r="F306" s="2">
        <f t="shared" si="30"/>
        <v>-10.761924156812102</v>
      </c>
      <c r="G306" s="1">
        <f t="shared" si="31"/>
        <v>3.0348636270886731</v>
      </c>
      <c r="H306" s="1">
        <f t="shared" si="32"/>
        <v>-8.0216173213583257</v>
      </c>
      <c r="I306" s="1">
        <f t="shared" si="33"/>
        <v>5.5919290347074702</v>
      </c>
      <c r="J306" s="1">
        <f t="shared" si="34"/>
        <v>-8.2903757255504154</v>
      </c>
    </row>
    <row r="307" spans="3:10">
      <c r="C307">
        <v>305</v>
      </c>
      <c r="D307" s="1">
        <f t="shared" si="28"/>
        <v>5.3232542185827052</v>
      </c>
      <c r="E307" s="1">
        <f t="shared" si="29"/>
        <v>5.1508664286436767</v>
      </c>
      <c r="F307" s="2">
        <f t="shared" si="30"/>
        <v>-10.829824531467905</v>
      </c>
      <c r="G307" s="1">
        <f t="shared" si="31"/>
        <v>3.0565226045704126</v>
      </c>
      <c r="H307" s="1">
        <f t="shared" si="32"/>
        <v>-7.8387915736850129</v>
      </c>
      <c r="I307" s="1">
        <f t="shared" si="33"/>
        <v>5.7357643635104605</v>
      </c>
      <c r="J307" s="1">
        <f t="shared" si="34"/>
        <v>-8.1915204428899173</v>
      </c>
    </row>
    <row r="308" spans="3:10">
      <c r="C308">
        <v>306</v>
      </c>
      <c r="D308" s="1">
        <f t="shared" si="28"/>
        <v>5.3407075111026483</v>
      </c>
      <c r="E308" s="1">
        <f t="shared" si="29"/>
        <v>5.4353890387597747</v>
      </c>
      <c r="F308" s="2">
        <f t="shared" si="30"/>
        <v>-10.883774437084309</v>
      </c>
      <c r="G308" s="1">
        <f t="shared" si="31"/>
        <v>3.0842480295898893</v>
      </c>
      <c r="H308" s="1">
        <f t="shared" si="32"/>
        <v>-7.6477064595845281</v>
      </c>
      <c r="I308" s="1">
        <f t="shared" si="33"/>
        <v>5.8778525229247292</v>
      </c>
      <c r="J308" s="1">
        <f t="shared" si="34"/>
        <v>-8.0901699437494763</v>
      </c>
    </row>
    <row r="309" spans="3:10">
      <c r="C309">
        <v>307</v>
      </c>
      <c r="D309" s="1">
        <f t="shared" si="28"/>
        <v>5.3581608036225914</v>
      </c>
      <c r="E309" s="1">
        <f t="shared" si="29"/>
        <v>5.7354906268697805</v>
      </c>
      <c r="F309" s="2">
        <f t="shared" si="30"/>
        <v>-10.921887333285227</v>
      </c>
      <c r="G309" s="1">
        <f t="shared" si="31"/>
        <v>3.1184239929035336</v>
      </c>
      <c r="H309" s="1">
        <f t="shared" si="32"/>
        <v>-7.4489226088447573</v>
      </c>
      <c r="I309" s="1">
        <f t="shared" si="33"/>
        <v>6.0181502315204796</v>
      </c>
      <c r="J309" s="1">
        <f t="shared" si="34"/>
        <v>-7.986355100472931</v>
      </c>
    </row>
    <row r="310" spans="3:10">
      <c r="C310">
        <v>308</v>
      </c>
      <c r="D310" s="1">
        <f t="shared" si="28"/>
        <v>5.3756140961425354</v>
      </c>
      <c r="E310" s="1">
        <f t="shared" si="29"/>
        <v>6.0496764911901906</v>
      </c>
      <c r="F310" s="2">
        <f t="shared" si="30"/>
        <v>-10.942418694235455</v>
      </c>
      <c r="G310" s="1">
        <f t="shared" si="31"/>
        <v>3.1593966168874132</v>
      </c>
      <c r="H310" s="1">
        <f t="shared" si="32"/>
        <v>-7.2430291544255541</v>
      </c>
      <c r="I310" s="1">
        <f t="shared" si="33"/>
        <v>6.1566147532565854</v>
      </c>
      <c r="J310" s="1">
        <f t="shared" si="34"/>
        <v>-7.8801075360672179</v>
      </c>
    </row>
    <row r="311" spans="3:10">
      <c r="C311">
        <v>309</v>
      </c>
      <c r="D311" s="1">
        <f t="shared" si="28"/>
        <v>5.3930673886624785</v>
      </c>
      <c r="E311" s="1">
        <f t="shared" si="29"/>
        <v>6.3762741880130989</v>
      </c>
      <c r="F311" s="2">
        <f t="shared" si="30"/>
        <v>-10.94378552623354</v>
      </c>
      <c r="G311" s="1">
        <f t="shared" si="31"/>
        <v>3.2074722131134976</v>
      </c>
      <c r="H311" s="1">
        <f t="shared" si="32"/>
        <v>-7.0306409778073657</v>
      </c>
      <c r="I311" s="1">
        <f t="shared" si="33"/>
        <v>6.2932039104983755</v>
      </c>
      <c r="J311" s="1">
        <f t="shared" si="34"/>
        <v>-7.7714596145697081</v>
      </c>
    </row>
    <row r="312" spans="3:10">
      <c r="C312">
        <v>310</v>
      </c>
      <c r="D312" s="1">
        <f t="shared" si="28"/>
        <v>5.4105206811824216</v>
      </c>
      <c r="E312" s="1">
        <f t="shared" si="29"/>
        <v>6.7134513162384666</v>
      </c>
      <c r="F312" s="2">
        <f t="shared" si="30"/>
        <v>-10.924584124996613</v>
      </c>
      <c r="G312" s="1">
        <f t="shared" si="31"/>
        <v>3.2629156359204976</v>
      </c>
      <c r="H312" s="1">
        <f t="shared" si="32"/>
        <v>-6.8123958316031636</v>
      </c>
      <c r="I312" s="1">
        <f t="shared" si="33"/>
        <v>6.4278760968653925</v>
      </c>
      <c r="J312" s="1">
        <f t="shared" si="34"/>
        <v>-7.6604444311897808</v>
      </c>
    </row>
    <row r="313" spans="3:10">
      <c r="C313">
        <v>311</v>
      </c>
      <c r="D313" s="1">
        <f t="shared" si="28"/>
        <v>5.4279739737023647</v>
      </c>
      <c r="E313" s="1">
        <f t="shared" si="29"/>
        <v>7.0592350617344808</v>
      </c>
      <c r="F313" s="2">
        <f t="shared" si="30"/>
        <v>-10.883605877958468</v>
      </c>
      <c r="G313" s="1">
        <f t="shared" si="31"/>
        <v>3.3259488400474195</v>
      </c>
      <c r="H313" s="1">
        <f t="shared" si="32"/>
        <v>-6.5889513534161788</v>
      </c>
      <c r="I313" s="1">
        <f t="shared" si="33"/>
        <v>6.5605902899050701</v>
      </c>
      <c r="J313" s="1">
        <f t="shared" si="34"/>
        <v>-7.5470958022277221</v>
      </c>
    </row>
    <row r="314" spans="3:10">
      <c r="C314">
        <v>312</v>
      </c>
      <c r="D314" s="1">
        <f t="shared" si="28"/>
        <v>5.4454272662223078</v>
      </c>
      <c r="E314" s="1">
        <f t="shared" si="29"/>
        <v>7.411533287556396</v>
      </c>
      <c r="F314" s="2">
        <f t="shared" si="30"/>
        <v>-10.819850938319043</v>
      </c>
      <c r="G314" s="1">
        <f t="shared" si="31"/>
        <v>3.3967496494032519</v>
      </c>
      <c r="H314" s="1">
        <f t="shared" si="32"/>
        <v>-6.3609819854546794</v>
      </c>
      <c r="I314" s="1">
        <f t="shared" si="33"/>
        <v>6.6913060635885779</v>
      </c>
      <c r="J314" s="1">
        <f t="shared" si="34"/>
        <v>-7.4314482547739455</v>
      </c>
    </row>
    <row r="315" spans="3:10">
      <c r="C315">
        <v>313</v>
      </c>
      <c r="D315" s="1">
        <f t="shared" si="28"/>
        <v>5.4628805587422518</v>
      </c>
      <c r="E315" s="1">
        <f t="shared" si="29"/>
        <v>7.7681569391144629</v>
      </c>
      <c r="F315" s="2">
        <f t="shared" si="30"/>
        <v>-10.732539620897656</v>
      </c>
      <c r="G315" s="1">
        <f t="shared" si="31"/>
        <v>3.475450743016848</v>
      </c>
      <c r="H315" s="1">
        <f t="shared" si="32"/>
        <v>-6.1291758148734923</v>
      </c>
      <c r="I315" s="1">
        <f t="shared" si="33"/>
        <v>6.8199836006249859</v>
      </c>
      <c r="J315" s="1">
        <f t="shared" si="34"/>
        <v>-7.3135370161917033</v>
      </c>
    </row>
    <row r="316" spans="3:10">
      <c r="C316">
        <v>314</v>
      </c>
      <c r="D316" s="1">
        <f t="shared" si="28"/>
        <v>5.4803338512621949</v>
      </c>
      <c r="E316" s="1">
        <f t="shared" si="29"/>
        <v>8.1268435189726596</v>
      </c>
      <c r="F316" s="2">
        <f t="shared" si="30"/>
        <v>-10.621121394800362</v>
      </c>
      <c r="G316" s="1">
        <f t="shared" si="31"/>
        <v>3.5621388631523296</v>
      </c>
      <c r="H316" s="1">
        <f t="shared" si="32"/>
        <v>-5.8942313501974599</v>
      </c>
      <c r="I316" s="1">
        <f t="shared" si="33"/>
        <v>6.9465837045899725</v>
      </c>
      <c r="J316" s="1">
        <f t="shared" si="34"/>
        <v>-7.1933980033865117</v>
      </c>
    </row>
    <row r="317" spans="3:10">
      <c r="C317">
        <v>315</v>
      </c>
      <c r="D317" s="1">
        <f t="shared" si="28"/>
        <v>5.497787143782138</v>
      </c>
      <c r="E317" s="1">
        <f t="shared" si="29"/>
        <v>8.4852813742385695</v>
      </c>
      <c r="F317" s="2">
        <f t="shared" si="30"/>
        <v>-10.485281374238571</v>
      </c>
      <c r="G317" s="1">
        <f t="shared" si="31"/>
        <v>3.6568542494923788</v>
      </c>
      <c r="H317" s="1">
        <f t="shared" si="32"/>
        <v>-5.6568542494923832</v>
      </c>
      <c r="I317" s="1">
        <f t="shared" si="33"/>
        <v>7.0710678118654737</v>
      </c>
      <c r="J317" s="1">
        <f t="shared" si="34"/>
        <v>-7.0710678118654773</v>
      </c>
    </row>
    <row r="318" spans="3:10">
      <c r="C318">
        <v>316</v>
      </c>
      <c r="D318" s="1">
        <f t="shared" si="28"/>
        <v>5.5152404363020811</v>
      </c>
      <c r="E318" s="1">
        <f t="shared" si="29"/>
        <v>8.8411345305991187</v>
      </c>
      <c r="F318" s="2">
        <f t="shared" si="30"/>
        <v>-10.324944236244518</v>
      </c>
      <c r="G318" s="1">
        <f t="shared" si="31"/>
        <v>3.759590302189558</v>
      </c>
      <c r="H318" s="1">
        <f t="shared" si="32"/>
        <v>-5.417754016183733</v>
      </c>
      <c r="I318" s="1">
        <f t="shared" si="33"/>
        <v>7.193398003386509</v>
      </c>
      <c r="J318" s="1">
        <f t="shared" si="34"/>
        <v>-6.9465837045899761</v>
      </c>
    </row>
    <row r="319" spans="3:10">
      <c r="C319">
        <v>317</v>
      </c>
      <c r="D319" s="1">
        <f t="shared" si="28"/>
        <v>5.532693728822025</v>
      </c>
      <c r="E319" s="1">
        <f t="shared" si="29"/>
        <v>9.192067801065571</v>
      </c>
      <c r="F319" s="2">
        <f t="shared" si="30"/>
        <v>-10.140275522217589</v>
      </c>
      <c r="G319" s="1">
        <f t="shared" si="31"/>
        <v>3.8702934754702252</v>
      </c>
      <c r="H319" s="1">
        <f t="shared" si="32"/>
        <v>-5.177640678579853</v>
      </c>
      <c r="I319" s="1">
        <f t="shared" si="33"/>
        <v>7.3135370161917068</v>
      </c>
      <c r="J319" s="1">
        <f t="shared" si="34"/>
        <v>-6.8199836006249823</v>
      </c>
    </row>
    <row r="320" spans="3:10">
      <c r="C320">
        <v>318</v>
      </c>
      <c r="D320" s="1">
        <f t="shared" si="28"/>
        <v>5.5501470213419681</v>
      </c>
      <c r="E320" s="1">
        <f t="shared" si="29"/>
        <v>9.5357718944786303</v>
      </c>
      <c r="F320" s="2">
        <f t="shared" si="30"/>
        <v>-9.9316803088966026</v>
      </c>
      <c r="G320" s="1">
        <f t="shared" si="31"/>
        <v>3.9888634023515426</v>
      </c>
      <c r="H320" s="1">
        <f t="shared" si="32"/>
        <v>-4.9372214692353458</v>
      </c>
      <c r="I320" s="1">
        <f t="shared" si="33"/>
        <v>7.431448254773942</v>
      </c>
      <c r="J320" s="1">
        <f t="shared" si="34"/>
        <v>-6.6913060635885815</v>
      </c>
    </row>
    <row r="321" spans="3:10">
      <c r="C321">
        <v>319</v>
      </c>
      <c r="D321" s="1">
        <f t="shared" si="28"/>
        <v>5.5676003138619112</v>
      </c>
      <c r="E321" s="1">
        <f t="shared" si="29"/>
        <v>9.8699882488248676</v>
      </c>
      <c r="F321" s="2">
        <f t="shared" si="30"/>
        <v>-9.6997992631712879</v>
      </c>
      <c r="G321" s="1">
        <f t="shared" si="31"/>
        <v>4.1151532499055374</v>
      </c>
      <c r="H321" s="1">
        <f t="shared" si="32"/>
        <v>-4.6971975202900618</v>
      </c>
      <c r="I321" s="1">
        <f t="shared" si="33"/>
        <v>7.5470958022277195</v>
      </c>
      <c r="J321" s="1">
        <f t="shared" si="34"/>
        <v>-6.5605902899050736</v>
      </c>
    </row>
    <row r="322" spans="3:10">
      <c r="C322">
        <v>320</v>
      </c>
      <c r="D322" s="1">
        <f t="shared" si="28"/>
        <v>5.5850536063818543</v>
      </c>
      <c r="E322" s="1">
        <f t="shared" si="29"/>
        <v>10.192533317427726</v>
      </c>
      <c r="F322" s="2">
        <f t="shared" si="30"/>
        <v>-9.4455021238073549</v>
      </c>
      <c r="G322" s="1">
        <f t="shared" si="31"/>
        <v>4.2489703033800046</v>
      </c>
      <c r="H322" s="1">
        <f t="shared" si="32"/>
        <v>-4.4582605908409816</v>
      </c>
      <c r="I322" s="1">
        <f t="shared" si="33"/>
        <v>7.6604444311897781</v>
      </c>
      <c r="J322" s="1">
        <f t="shared" si="34"/>
        <v>-6.4278760968653961</v>
      </c>
    </row>
    <row r="323" spans="3:10">
      <c r="C323">
        <v>321</v>
      </c>
      <c r="D323" s="1">
        <f t="shared" ref="D323:D362" si="35">RADIANS(C323)</f>
        <v>5.6025068989017974</v>
      </c>
      <c r="E323" s="1">
        <f t="shared" ref="E323:E362" si="36">($B$1+$B$2)*COS(D323) - $B$3*COS((($B$1+$B$2)/$B$2)*D323)</f>
        <v>10.501322042068589</v>
      </c>
      <c r="F323" s="2">
        <f t="shared" ref="F323:F362" si="37">($B$1+$B$2)*SIN(D323) - $B$3*SIN((($B$1+$B$2)/$B$2)*D323)</f>
        <v>-9.1698786813479529</v>
      </c>
      <c r="G323" s="1">
        <f t="shared" ref="G323:G362" si="38">($B$1-$B$2)*COS(D323) + $B$3*COS((($B$1-$B$2)/$B$2)*D323)</f>
        <v>4.3900767763705613</v>
      </c>
      <c r="H323" s="1">
        <f t="shared" ref="H323:H362" si="39">($B$1-$B$2)*SIN(D323) - $B$3*SIN((($B$1-$B$2)/$B$2)*D323)</f>
        <v>-4.2210898422471059</v>
      </c>
      <c r="I323" s="1">
        <f t="shared" ref="I323:I362" si="40">$B$1*COS(D323)</f>
        <v>7.7714596145697055</v>
      </c>
      <c r="J323" s="1">
        <f t="shared" ref="J323:J362" si="41">$B$1*SIN(D323)</f>
        <v>-6.2932039104983781</v>
      </c>
    </row>
    <row r="324" spans="3:10">
      <c r="C324">
        <v>322</v>
      </c>
      <c r="D324" s="1">
        <f t="shared" si="35"/>
        <v>5.6199601914217414</v>
      </c>
      <c r="E324" s="1">
        <f t="shared" si="36"/>
        <v>10.794390255998389</v>
      </c>
      <c r="F324" s="2">
        <f t="shared" si="37"/>
        <v>-8.8742273548626809</v>
      </c>
      <c r="G324" s="1">
        <f t="shared" si="38"/>
        <v>4.538190843135923</v>
      </c>
      <c r="H324" s="1">
        <f t="shared" si="39"/>
        <v>-3.9863486770334826</v>
      </c>
      <c r="I324" s="1">
        <f t="shared" si="40"/>
        <v>7.8801075360672197</v>
      </c>
      <c r="J324" s="1">
        <f t="shared" si="41"/>
        <v>-6.1566147532565818</v>
      </c>
    </row>
    <row r="325" spans="3:10">
      <c r="C325">
        <v>323</v>
      </c>
      <c r="D325" s="1">
        <f t="shared" si="35"/>
        <v>5.6374134839416845</v>
      </c>
      <c r="E325" s="1">
        <f t="shared" si="36"/>
        <v>11.0699157715223</v>
      </c>
      <c r="F325" s="2">
        <f t="shared" si="37"/>
        <v>-8.5600414905422983</v>
      </c>
      <c r="G325" s="1">
        <f t="shared" si="38"/>
        <v>4.6929878880654901</v>
      </c>
      <c r="H325" s="1">
        <f t="shared" si="39"/>
        <v>-3.7546816567499763</v>
      </c>
      <c r="I325" s="1">
        <f t="shared" si="40"/>
        <v>7.9863551004729283</v>
      </c>
      <c r="J325" s="1">
        <f t="shared" si="41"/>
        <v>-6.0181502315204831</v>
      </c>
    </row>
    <row r="326" spans="3:10">
      <c r="C326">
        <v>324</v>
      </c>
      <c r="D326" s="1">
        <f t="shared" si="35"/>
        <v>5.6548667764616276</v>
      </c>
      <c r="E326" s="1">
        <f t="shared" si="36"/>
        <v>11.326237921249261</v>
      </c>
      <c r="F326" s="2">
        <f t="shared" si="37"/>
        <v>-8.2289935320946288</v>
      </c>
      <c r="G326" s="1">
        <f t="shared" si="38"/>
        <v>4.8541019662496829</v>
      </c>
      <c r="H326" s="1">
        <f t="shared" si="39"/>
        <v>-3.5267115137548419</v>
      </c>
      <c r="I326" s="1">
        <f t="shared" si="40"/>
        <v>8.0901699437494727</v>
      </c>
      <c r="J326" s="1">
        <f t="shared" si="41"/>
        <v>-5.8778525229247336</v>
      </c>
    </row>
    <row r="327" spans="3:10">
      <c r="C327">
        <v>325</v>
      </c>
      <c r="D327" s="1">
        <f t="shared" si="35"/>
        <v>5.6723200689815707</v>
      </c>
      <c r="E327" s="1">
        <f t="shared" si="36"/>
        <v>11.561875339036776</v>
      </c>
      <c r="F327" s="2">
        <f t="shared" si="37"/>
        <v>-7.8829172362125597</v>
      </c>
      <c r="G327" s="1">
        <f t="shared" si="38"/>
        <v>5.0211274680739741</v>
      </c>
      <c r="H327" s="1">
        <f t="shared" si="39"/>
        <v>-3.3030362714352961</v>
      </c>
      <c r="I327" s="1">
        <f t="shared" si="40"/>
        <v>8.1915204428899155</v>
      </c>
      <c r="J327" s="1">
        <f t="shared" si="41"/>
        <v>-5.7357643635104649</v>
      </c>
    </row>
    <row r="328" spans="3:10">
      <c r="C328">
        <v>326</v>
      </c>
      <c r="D328" s="1">
        <f t="shared" si="35"/>
        <v>5.6897733615015147</v>
      </c>
      <c r="E328" s="1">
        <f t="shared" si="36"/>
        <v>11.775541785945704</v>
      </c>
      <c r="F328" s="2">
        <f t="shared" si="37"/>
        <v>-7.5237881278005592</v>
      </c>
      <c r="G328" s="1">
        <f t="shared" si="38"/>
        <v>5.1936209797630344</v>
      </c>
      <c r="H328" s="1">
        <f t="shared" si="39"/>
        <v>-3.0842264868479763</v>
      </c>
      <c r="I328" s="1">
        <f t="shared" si="40"/>
        <v>8.2903757255504189</v>
      </c>
      <c r="J328" s="1">
        <f t="shared" si="41"/>
        <v>-5.5919290347074657</v>
      </c>
    </row>
    <row r="329" spans="3:10">
      <c r="C329">
        <v>327</v>
      </c>
      <c r="D329" s="1">
        <f t="shared" si="35"/>
        <v>5.7072266540214578</v>
      </c>
      <c r="E329" s="1">
        <f t="shared" si="36"/>
        <v>11.966159847935396</v>
      </c>
      <c r="F329" s="2">
        <f t="shared" si="37"/>
        <v>-7.1537024089302177</v>
      </c>
      <c r="G329" s="1">
        <f t="shared" si="38"/>
        <v>5.3711033308456759</v>
      </c>
      <c r="H329" s="1">
        <f t="shared" si="39"/>
        <v>-2.8708226291654269</v>
      </c>
      <c r="I329" s="1">
        <f t="shared" si="40"/>
        <v>8.3867056794542414</v>
      </c>
      <c r="J329" s="1">
        <f t="shared" si="41"/>
        <v>-5.4463903501502697</v>
      </c>
    </row>
    <row r="330" spans="3:10">
      <c r="C330">
        <v>328</v>
      </c>
      <c r="D330" s="1">
        <f t="shared" si="35"/>
        <v>5.7246799465414009</v>
      </c>
      <c r="E330" s="1">
        <f t="shared" si="36"/>
        <v>12.132872355344723</v>
      </c>
      <c r="F330" s="2">
        <f t="shared" si="37"/>
        <v>-6.7748545524339763</v>
      </c>
      <c r="G330" s="1">
        <f t="shared" si="38"/>
        <v>5.5530618186000904</v>
      </c>
      <c r="H330" s="1">
        <f t="shared" si="39"/>
        <v>-2.6633326066521965</v>
      </c>
      <c r="I330" s="1">
        <f t="shared" si="40"/>
        <v>8.4804809615642593</v>
      </c>
      <c r="J330" s="1">
        <f t="shared" si="41"/>
        <v>-5.2991926423320503</v>
      </c>
    </row>
    <row r="331" spans="3:10">
      <c r="C331">
        <v>329</v>
      </c>
      <c r="D331" s="1">
        <f t="shared" si="35"/>
        <v>5.742133239061344</v>
      </c>
      <c r="E331" s="1">
        <f t="shared" si="36"/>
        <v>12.275051399161891</v>
      </c>
      <c r="F331" s="2">
        <f t="shared" si="37"/>
        <v>-6.389513825455972</v>
      </c>
      <c r="G331" s="1">
        <f t="shared" si="38"/>
        <v>5.7389525986754011</v>
      </c>
      <c r="H331" s="1">
        <f t="shared" si="39"/>
        <v>-2.462229454170354</v>
      </c>
      <c r="I331" s="1">
        <f t="shared" si="40"/>
        <v>8.571673007021122</v>
      </c>
      <c r="J331" s="1">
        <f t="shared" si="41"/>
        <v>-5.1503807491005453</v>
      </c>
    </row>
    <row r="332" spans="3:10">
      <c r="C332">
        <v>330</v>
      </c>
      <c r="D332" s="1">
        <f t="shared" si="35"/>
        <v>5.7595865315812871</v>
      </c>
      <c r="E332" s="1">
        <f t="shared" si="36"/>
        <v>12.39230484541326</v>
      </c>
      <c r="F332" s="2">
        <f t="shared" si="37"/>
        <v>-6.0000000000000151</v>
      </c>
      <c r="G332" s="1">
        <f t="shared" si="38"/>
        <v>5.9282032302755034</v>
      </c>
      <c r="H332" s="1">
        <f t="shared" si="39"/>
        <v>-2.2679491924311286</v>
      </c>
      <c r="I332" s="1">
        <f t="shared" si="40"/>
        <v>8.6602540378443837</v>
      </c>
      <c r="J332" s="1">
        <f t="shared" si="41"/>
        <v>-5.0000000000000044</v>
      </c>
    </row>
    <row r="333" spans="3:10">
      <c r="C333">
        <v>331</v>
      </c>
      <c r="D333" s="1">
        <f t="shared" si="35"/>
        <v>5.7770398241012311</v>
      </c>
      <c r="E333" s="1">
        <f t="shared" si="36"/>
        <v>12.484480276409297</v>
      </c>
      <c r="F333" s="2">
        <f t="shared" si="37"/>
        <v>-5.6086585164207303</v>
      </c>
      <c r="G333" s="1">
        <f t="shared" si="38"/>
        <v>6.1202153635370129</v>
      </c>
      <c r="H333" s="1">
        <f t="shared" si="39"/>
        <v>-2.0808888693723606</v>
      </c>
      <c r="I333" s="1">
        <f t="shared" si="40"/>
        <v>8.7461970713939579</v>
      </c>
      <c r="J333" s="1">
        <f t="shared" si="41"/>
        <v>-4.8480962024633687</v>
      </c>
    </row>
    <row r="334" spans="3:10">
      <c r="C334">
        <v>332</v>
      </c>
      <c r="D334" s="1">
        <f t="shared" si="35"/>
        <v>5.7944931166211742</v>
      </c>
      <c r="E334" s="1">
        <f t="shared" si="36"/>
        <v>12.551666315774735</v>
      </c>
      <c r="F334" s="2">
        <f t="shared" si="37"/>
        <v>-5.2178353717951786</v>
      </c>
      <c r="G334" s="1">
        <f t="shared" si="38"/>
        <v>6.3143675560395911</v>
      </c>
      <c r="H334" s="1">
        <f t="shared" si="39"/>
        <v>-1.9014047931535518</v>
      </c>
      <c r="I334" s="1">
        <f t="shared" si="40"/>
        <v>8.8294759285892681</v>
      </c>
      <c r="J334" s="1">
        <f t="shared" si="41"/>
        <v>-4.6947156278589084</v>
      </c>
    </row>
    <row r="335" spans="3:10">
      <c r="C335">
        <v>333</v>
      </c>
      <c r="D335" s="1">
        <f t="shared" si="35"/>
        <v>5.8119464091411173</v>
      </c>
      <c r="E335" s="1">
        <f t="shared" si="36"/>
        <v>12.594191322850723</v>
      </c>
      <c r="F335" s="2">
        <f t="shared" si="37"/>
        <v>-4.829852008124675</v>
      </c>
      <c r="G335" s="1">
        <f t="shared" si="38"/>
        <v>6.5100182047570456</v>
      </c>
      <c r="H335" s="1">
        <f t="shared" si="39"/>
        <v>-1.7298109653260691</v>
      </c>
      <c r="I335" s="1">
        <f t="shared" si="40"/>
        <v>8.9100652418836788</v>
      </c>
      <c r="J335" s="1">
        <f t="shared" si="41"/>
        <v>-4.5399049973954693</v>
      </c>
    </row>
    <row r="336" spans="3:10">
      <c r="C336">
        <v>334</v>
      </c>
      <c r="D336" s="1">
        <f t="shared" si="35"/>
        <v>5.8293997016610604</v>
      </c>
      <c r="E336" s="1">
        <f t="shared" si="36"/>
        <v>12.612619470875206</v>
      </c>
      <c r="F336" s="2">
        <f t="shared" si="37"/>
        <v>-4.4469804753173374</v>
      </c>
      <c r="G336" s="1">
        <f t="shared" si="38"/>
        <v>6.7065085791939953</v>
      </c>
      <c r="H336" s="1">
        <f t="shared" si="39"/>
        <v>-1.5663777217606303</v>
      </c>
      <c r="I336" s="1">
        <f t="shared" si="40"/>
        <v>8.9879404629916682</v>
      </c>
      <c r="J336" s="1">
        <f t="shared" si="41"/>
        <v>-4.3837114678907776</v>
      </c>
    </row>
    <row r="337" spans="3:10">
      <c r="C337">
        <v>335</v>
      </c>
      <c r="D337" s="1">
        <f t="shared" si="35"/>
        <v>5.8468529941810043</v>
      </c>
      <c r="E337" s="1">
        <f t="shared" si="36"/>
        <v>12.607744252008679</v>
      </c>
      <c r="F337" s="2">
        <f t="shared" si="37"/>
        <v>-4.071419140888394</v>
      </c>
      <c r="G337" s="1">
        <f t="shared" si="38"/>
        <v>6.903165940959342</v>
      </c>
      <c r="H337" s="1">
        <f t="shared" si="39"/>
        <v>-1.4113305879011773</v>
      </c>
      <c r="I337" s="1">
        <f t="shared" si="40"/>
        <v>9.0630778703665005</v>
      </c>
      <c r="J337" s="1">
        <f t="shared" si="41"/>
        <v>-4.2261826174069919</v>
      </c>
    </row>
    <row r="338" spans="3:10">
      <c r="C338">
        <v>336</v>
      </c>
      <c r="D338" s="1">
        <f t="shared" si="35"/>
        <v>5.8643062867009474</v>
      </c>
      <c r="E338" s="1">
        <f t="shared" si="36"/>
        <v>12.580579480461108</v>
      </c>
      <c r="F338" s="2">
        <f t="shared" si="37"/>
        <v>-3.7052692123246578</v>
      </c>
      <c r="G338" s="1">
        <f t="shared" si="38"/>
        <v>7.0993067346055012</v>
      </c>
      <c r="H338" s="1">
        <f t="shared" si="39"/>
        <v>-1.2648493538698544</v>
      </c>
      <c r="I338" s="1">
        <f t="shared" si="40"/>
        <v>9.1354545764260102</v>
      </c>
      <c r="J338" s="1">
        <f t="shared" si="41"/>
        <v>-4.0673664307580015</v>
      </c>
    </row>
    <row r="339" spans="3:10">
      <c r="C339">
        <v>337</v>
      </c>
      <c r="D339" s="1">
        <f t="shared" si="35"/>
        <v>5.8817595792208905</v>
      </c>
      <c r="E339" s="1">
        <f t="shared" si="36"/>
        <v>12.532347892384072</v>
      </c>
      <c r="F339" s="2">
        <f t="shared" si="37"/>
        <v>-3.3505123291535712</v>
      </c>
      <c r="G339" s="1">
        <f t="shared" si="38"/>
        <v>7.2942398342145189</v>
      </c>
      <c r="H339" s="1">
        <f t="shared" si="39"/>
        <v>-1.1270673738759995</v>
      </c>
      <c r="I339" s="1">
        <f t="shared" si="40"/>
        <v>9.2050485345244031</v>
      </c>
      <c r="J339" s="1">
        <f t="shared" si="41"/>
        <v>-3.9073112848927387</v>
      </c>
    </row>
    <row r="340" spans="3:10">
      <c r="C340">
        <v>338</v>
      </c>
      <c r="D340" s="1">
        <f t="shared" si="35"/>
        <v>5.8992128717408336</v>
      </c>
      <c r="E340" s="1">
        <f t="shared" si="36"/>
        <v>12.464467467519164</v>
      </c>
      <c r="F340" s="2">
        <f t="shared" si="37"/>
        <v>-3.0089894700361599</v>
      </c>
      <c r="G340" s="1">
        <f t="shared" si="38"/>
        <v>7.4872698299392981</v>
      </c>
      <c r="H340" s="1">
        <f t="shared" si="39"/>
        <v>-0.99807109328910726</v>
      </c>
      <c r="I340" s="1">
        <f t="shared" si="40"/>
        <v>9.2718385456678725</v>
      </c>
      <c r="J340" s="1">
        <f t="shared" si="41"/>
        <v>-3.7460659341591236</v>
      </c>
    </row>
    <row r="341" spans="3:10">
      <c r="C341">
        <v>339</v>
      </c>
      <c r="D341" s="1">
        <f t="shared" si="35"/>
        <v>5.9166661642607767</v>
      </c>
      <c r="E341" s="1">
        <f t="shared" si="36"/>
        <v>12.378535622551363</v>
      </c>
      <c r="F341" s="2">
        <f t="shared" si="37"/>
        <v>-2.6823814057937141</v>
      </c>
      <c r="G341" s="1">
        <f t="shared" si="38"/>
        <v>7.6777003385129152</v>
      </c>
      <c r="H341" s="1">
        <f t="shared" si="39"/>
        <v>-0.87789980562585912</v>
      </c>
      <c r="I341" s="1">
        <f t="shared" si="40"/>
        <v>9.3358042649720154</v>
      </c>
      <c r="J341" s="1">
        <f t="shared" si="41"/>
        <v>-3.5836794954530076</v>
      </c>
    </row>
    <row r="342" spans="3:10">
      <c r="C342">
        <v>340</v>
      </c>
      <c r="D342" s="1">
        <f t="shared" si="35"/>
        <v>5.9341194567807207</v>
      </c>
      <c r="E342" s="1">
        <f t="shared" si="36"/>
        <v>12.276311449430899</v>
      </c>
      <c r="F342" s="2">
        <f t="shared" si="37"/>
        <v>-2.3721909123391445</v>
      </c>
      <c r="G342" s="1">
        <f t="shared" si="38"/>
        <v>7.8648373216211294</v>
      </c>
      <c r="H342" s="1">
        <f t="shared" si="39"/>
        <v>-0.766545640580933</v>
      </c>
      <c r="I342" s="1">
        <f t="shared" si="40"/>
        <v>9.3969262078590852</v>
      </c>
      <c r="J342" s="1">
        <f t="shared" si="41"/>
        <v>-3.4202014332566861</v>
      </c>
    </row>
    <row r="343" spans="3:10">
      <c r="C343">
        <v>341</v>
      </c>
      <c r="D343" s="1">
        <f t="shared" si="35"/>
        <v>5.9515727493006638</v>
      </c>
      <c r="E343" s="1">
        <f t="shared" si="36"/>
        <v>12.159696193343398</v>
      </c>
      <c r="F343" s="2">
        <f t="shared" si="37"/>
        <v>-2.0797269382006771</v>
      </c>
      <c r="G343" s="1">
        <f t="shared" si="38"/>
        <v>8.0479923959938695</v>
      </c>
      <c r="H343" s="1">
        <f t="shared" si="39"/>
        <v>-0.66395378310526065</v>
      </c>
      <c r="I343" s="1">
        <f t="shared" si="40"/>
        <v>9.4551857559931687</v>
      </c>
      <c r="J343" s="1">
        <f t="shared" si="41"/>
        <v>-3.255681544571567</v>
      </c>
    </row>
    <row r="344" spans="3:10">
      <c r="C344">
        <v>342</v>
      </c>
      <c r="D344" s="1">
        <f t="shared" si="35"/>
        <v>5.9690260418206069</v>
      </c>
      <c r="E344" s="1">
        <f t="shared" si="36"/>
        <v>12.030712184291733</v>
      </c>
      <c r="F344" s="2">
        <f t="shared" si="37"/>
        <v>-1.8060908999090628</v>
      </c>
      <c r="G344" s="1">
        <f t="shared" si="38"/>
        <v>8.2264861191111223</v>
      </c>
      <c r="H344" s="1">
        <f t="shared" si="39"/>
        <v>-0.57002292240927321</v>
      </c>
      <c r="I344" s="1">
        <f t="shared" si="40"/>
        <v>9.5105651629515346</v>
      </c>
      <c r="J344" s="1">
        <f t="shared" si="41"/>
        <v>-3.0901699437494763</v>
      </c>
    </row>
    <row r="345" spans="3:10">
      <c r="C345">
        <v>343</v>
      </c>
      <c r="D345" s="1">
        <f t="shared" si="35"/>
        <v>5.98647933434055</v>
      </c>
      <c r="E345" s="1">
        <f t="shared" si="36"/>
        <v>11.891480453191949</v>
      </c>
      <c r="F345" s="2">
        <f t="shared" si="37"/>
        <v>-1.5521652552052363</v>
      </c>
      <c r="G345" s="1">
        <f t="shared" si="38"/>
        <v>8.399651234536103</v>
      </c>
      <c r="H345" s="1">
        <f t="shared" si="39"/>
        <v>-0.48460592864832108</v>
      </c>
      <c r="I345" s="1">
        <f t="shared" si="40"/>
        <v>9.5630475596303537</v>
      </c>
      <c r="J345" s="1">
        <f t="shared" si="41"/>
        <v>-2.9237170472273717</v>
      </c>
    </row>
    <row r="346" spans="3:10">
      <c r="C346">
        <v>344</v>
      </c>
      <c r="D346" s="1">
        <f t="shared" si="35"/>
        <v>6.003932626860494</v>
      </c>
      <c r="E346" s="1">
        <f t="shared" si="36"/>
        <v>11.744197277795127</v>
      </c>
      <c r="F346" s="2">
        <f t="shared" si="37"/>
        <v>-1.31860447906744</v>
      </c>
      <c r="G346" s="1">
        <f t="shared" si="38"/>
        <v>8.5668358610847086</v>
      </c>
      <c r="H346" s="1">
        <f t="shared" si="39"/>
        <v>-0.40751075393765834</v>
      </c>
      <c r="I346" s="1">
        <f t="shared" si="40"/>
        <v>9.6126169593831889</v>
      </c>
      <c r="J346" s="1">
        <f t="shared" si="41"/>
        <v>-2.7563735581699893</v>
      </c>
    </row>
    <row r="347" spans="3:10">
      <c r="C347">
        <v>345</v>
      </c>
      <c r="D347" s="1">
        <f t="shared" si="35"/>
        <v>6.0213859193804371</v>
      </c>
      <c r="E347" s="1">
        <f t="shared" si="36"/>
        <v>11.591109915468813</v>
      </c>
      <c r="F347" s="2">
        <f t="shared" si="37"/>
        <v>-1.105828541230248</v>
      </c>
      <c r="G347" s="1">
        <f t="shared" si="38"/>
        <v>8.7274066103125474</v>
      </c>
      <c r="H347" s="1">
        <f t="shared" si="39"/>
        <v>-0.3385015532512885</v>
      </c>
      <c r="I347" s="1">
        <f t="shared" si="40"/>
        <v>9.6592582628906829</v>
      </c>
      <c r="J347" s="1">
        <f t="shared" si="41"/>
        <v>-2.588190451025207</v>
      </c>
    </row>
    <row r="348" spans="3:10">
      <c r="C348">
        <v>346</v>
      </c>
      <c r="D348" s="1">
        <f t="shared" si="35"/>
        <v>6.0388392119003802</v>
      </c>
      <c r="E348" s="1">
        <f t="shared" si="36"/>
        <v>11.434491788776656</v>
      </c>
      <c r="F348" s="2">
        <f t="shared" si="37"/>
        <v>-0.9140189564594674</v>
      </c>
      <c r="G348" s="1">
        <f t="shared" si="38"/>
        <v>8.880751617149464</v>
      </c>
      <c r="H348" s="1">
        <f t="shared" si="39"/>
        <v>-0.27730001968725904</v>
      </c>
      <c r="I348" s="1">
        <f t="shared" si="40"/>
        <v>9.7029572627599645</v>
      </c>
      <c r="J348" s="1">
        <f t="shared" si="41"/>
        <v>-2.4192189559966786</v>
      </c>
    </row>
    <row r="349" spans="3:10">
      <c r="C349">
        <v>347</v>
      </c>
      <c r="D349" s="1">
        <f t="shared" si="35"/>
        <v>6.0562925044203233</v>
      </c>
      <c r="E349" s="1">
        <f t="shared" si="36"/>
        <v>11.276617395787307</v>
      </c>
      <c r="F349" s="2">
        <f t="shared" si="37"/>
        <v>-0.74311745065877211</v>
      </c>
      <c r="G349" s="1">
        <f t="shared" si="38"/>
        <v>9.0262834689331957</v>
      </c>
      <c r="H349" s="1">
        <f t="shared" si="39"/>
        <v>-0.22358692753747711</v>
      </c>
      <c r="I349" s="1">
        <f t="shared" si="40"/>
        <v>9.7437006478523518</v>
      </c>
      <c r="J349" s="1">
        <f t="shared" si="41"/>
        <v>-2.2495105434386535</v>
      </c>
    </row>
    <row r="350" spans="3:10">
      <c r="C350">
        <v>348</v>
      </c>
      <c r="D350" s="1">
        <f t="shared" si="35"/>
        <v>6.0737457969402664</v>
      </c>
      <c r="E350" s="1">
        <f t="shared" si="36"/>
        <v>11.119737220055775</v>
      </c>
      <c r="F350" s="2">
        <f t="shared" si="37"/>
        <v>-0.5928272572228106</v>
      </c>
      <c r="G350" s="1">
        <f t="shared" si="38"/>
        <v>9.1634420185881584</v>
      </c>
      <c r="H350" s="1">
        <f t="shared" si="39"/>
        <v>-0.17700387558728758</v>
      </c>
      <c r="I350" s="1">
        <f t="shared" si="40"/>
        <v>9.7814760073380551</v>
      </c>
      <c r="J350" s="1">
        <f t="shared" si="41"/>
        <v>-2.0791169081775989</v>
      </c>
    </row>
    <row r="351" spans="3:10">
      <c r="C351">
        <v>349</v>
      </c>
      <c r="D351" s="1">
        <f t="shared" si="35"/>
        <v>6.0911990894602104</v>
      </c>
      <c r="E351" s="1">
        <f t="shared" si="36"/>
        <v>10.96605291522037</v>
      </c>
      <c r="F351" s="2">
        <f t="shared" si="37"/>
        <v>-0.46261702923333381</v>
      </c>
      <c r="G351" s="1">
        <f t="shared" si="38"/>
        <v>9.291697068258614</v>
      </c>
      <c r="H351" s="1">
        <f t="shared" si="39"/>
        <v>-0.1371552220943637</v>
      </c>
      <c r="I351" s="1">
        <f t="shared" si="40"/>
        <v>9.8162718344766393</v>
      </c>
      <c r="J351" s="1">
        <f t="shared" si="41"/>
        <v>-1.9080899537654465</v>
      </c>
    </row>
    <row r="352" spans="3:10">
      <c r="C352">
        <v>350</v>
      </c>
      <c r="D352" s="1">
        <f t="shared" si="35"/>
        <v>6.1086523819801535</v>
      </c>
      <c r="E352" s="1">
        <f t="shared" si="36"/>
        <v>10.817693036146496</v>
      </c>
      <c r="F352" s="2">
        <f t="shared" si="37"/>
        <v>-0.35172732443428689</v>
      </c>
      <c r="G352" s="1">
        <f t="shared" si="38"/>
        <v>9.4105509103356191</v>
      </c>
      <c r="H352" s="1">
        <f t="shared" si="39"/>
        <v>-0.10361020196236415</v>
      </c>
      <c r="I352" s="1">
        <f t="shared" si="40"/>
        <v>9.8480775301220795</v>
      </c>
      <c r="J352" s="1">
        <f t="shared" si="41"/>
        <v>-1.7364817766693039</v>
      </c>
    </row>
    <row r="353" spans="3:10">
      <c r="C353">
        <v>351</v>
      </c>
      <c r="D353" s="1">
        <f t="shared" si="35"/>
        <v>6.1261056745000966</v>
      </c>
      <c r="E353" s="1">
        <f t="shared" si="36"/>
        <v>10.676689582556705</v>
      </c>
      <c r="F353" s="2">
        <f t="shared" si="37"/>
        <v>-0.25917959173287897</v>
      </c>
      <c r="G353" s="1">
        <f t="shared" si="38"/>
        <v>9.5195407135109953</v>
      </c>
      <c r="H353" s="1">
        <f t="shared" si="39"/>
        <v>-7.5905215736901122E-2</v>
      </c>
      <c r="I353" s="1">
        <f t="shared" si="40"/>
        <v>9.8768834059513768</v>
      </c>
      <c r="J353" s="1">
        <f t="shared" si="41"/>
        <v>-1.5643446504023113</v>
      </c>
    </row>
    <row r="354" spans="3:10">
      <c r="C354">
        <v>352</v>
      </c>
      <c r="D354" s="1">
        <f t="shared" si="35"/>
        <v>6.1435589670200397</v>
      </c>
      <c r="E354" s="1">
        <f t="shared" si="36"/>
        <v>10.544955612181136</v>
      </c>
      <c r="F354" s="2">
        <f t="shared" si="37"/>
        <v>-0.18378756056599399</v>
      </c>
      <c r="G354" s="1">
        <f t="shared" si="38"/>
        <v>9.6182407422454119</v>
      </c>
      <c r="H354" s="1">
        <f t="shared" si="39"/>
        <v>-5.3546279214114145E-2</v>
      </c>
      <c r="I354" s="1">
        <f t="shared" si="40"/>
        <v>9.9026806874157032</v>
      </c>
      <c r="J354" s="1">
        <f t="shared" si="41"/>
        <v>-1.3917310096006588</v>
      </c>
    </row>
    <row r="355" spans="3:10">
      <c r="C355">
        <v>353</v>
      </c>
      <c r="D355" s="1">
        <f t="shared" si="35"/>
        <v>6.1610122595399837</v>
      </c>
      <c r="E355" s="1">
        <f t="shared" si="36"/>
        <v>10.424264168741075</v>
      </c>
      <c r="F355" s="2">
        <f t="shared" si="37"/>
        <v>-0.12417090814405252</v>
      </c>
      <c r="G355" s="1">
        <f t="shared" si="38"/>
        <v>9.7062643988484325</v>
      </c>
      <c r="H355" s="1">
        <f t="shared" si="39"/>
        <v>-3.6011621669398086E-2</v>
      </c>
      <c r="I355" s="1">
        <f t="shared" si="40"/>
        <v>9.9254615164132218</v>
      </c>
      <c r="J355" s="1">
        <f t="shared" si="41"/>
        <v>-1.2186934340514723</v>
      </c>
    </row>
    <row r="356" spans="3:10">
      <c r="C356">
        <v>354</v>
      </c>
      <c r="D356" s="1">
        <f t="shared" si="35"/>
        <v>6.1784655520599268</v>
      </c>
      <c r="E356" s="1">
        <f t="shared" si="36"/>
        <v>10.316228755669382</v>
      </c>
      <c r="F356" s="2">
        <f t="shared" si="37"/>
        <v>-7.877105462689804E-2</v>
      </c>
      <c r="G356" s="1">
        <f t="shared" si="38"/>
        <v>9.7832660782313887</v>
      </c>
      <c r="H356" s="1">
        <f t="shared" si="39"/>
        <v>-2.275441998962735E-2</v>
      </c>
      <c r="I356" s="1">
        <f t="shared" si="40"/>
        <v>9.9452189536827333</v>
      </c>
      <c r="J356" s="1">
        <f t="shared" si="41"/>
        <v>-1.0452846326765342</v>
      </c>
    </row>
    <row r="357" spans="3:10">
      <c r="C357">
        <v>355</v>
      </c>
      <c r="D357" s="1">
        <f t="shared" si="35"/>
        <v>6.1959188445798699</v>
      </c>
      <c r="E357" s="1">
        <f t="shared" si="36"/>
        <v>10.222285569532074</v>
      </c>
      <c r="F357" s="2">
        <f t="shared" si="37"/>
        <v>-4.5868912971892328E-2</v>
      </c>
      <c r="G357" s="1">
        <f t="shared" si="38"/>
        <v>9.8489428263057803</v>
      </c>
      <c r="H357" s="1">
        <f t="shared" si="39"/>
        <v>-1.3205655329928012E-2</v>
      </c>
      <c r="I357" s="1">
        <f t="shared" si="40"/>
        <v>9.961946980917455</v>
      </c>
      <c r="J357" s="1">
        <f t="shared" si="41"/>
        <v>-0.87155742747658316</v>
      </c>
    </row>
    <row r="358" spans="3:10">
      <c r="C358">
        <v>356</v>
      </c>
      <c r="D358" s="1">
        <f t="shared" si="35"/>
        <v>6.213372137099813</v>
      </c>
      <c r="E358" s="1">
        <f t="shared" si="36"/>
        <v>10.143677687832691</v>
      </c>
      <c r="F358" s="2">
        <f t="shared" si="37"/>
        <v>-2.3604398777900215E-2</v>
      </c>
      <c r="G358" s="1">
        <f t="shared" si="38"/>
        <v>9.9030357939552296</v>
      </c>
      <c r="H358" s="1">
        <f t="shared" si="39"/>
        <v>-6.7770783190040929E-3</v>
      </c>
      <c r="I358" s="1">
        <f t="shared" si="40"/>
        <v>9.9756405025982424</v>
      </c>
      <c r="J358" s="1">
        <f t="shared" si="41"/>
        <v>-0.69756473744125636</v>
      </c>
    </row>
    <row r="359" spans="3:10">
      <c r="C359">
        <v>357</v>
      </c>
      <c r="D359" s="1">
        <f t="shared" si="35"/>
        <v>6.2308254296197561</v>
      </c>
      <c r="E359" s="1">
        <f t="shared" si="36"/>
        <v>10.081441384464581</v>
      </c>
      <c r="F359" s="2">
        <f t="shared" si="37"/>
        <v>-9.9974861654313907E-3</v>
      </c>
      <c r="G359" s="1">
        <f t="shared" si="38"/>
        <v>9.9453314795042012</v>
      </c>
      <c r="H359" s="1">
        <f t="shared" si="39"/>
        <v>-2.8642683080320475E-3</v>
      </c>
      <c r="I359" s="1">
        <f t="shared" si="40"/>
        <v>9.9862953475457381</v>
      </c>
      <c r="J359" s="1">
        <f t="shared" si="41"/>
        <v>-0.5233595624294437</v>
      </c>
    </row>
    <row r="360" spans="3:10">
      <c r="C360">
        <v>358</v>
      </c>
      <c r="D360" s="1">
        <f t="shared" si="35"/>
        <v>6.2482787221397</v>
      </c>
      <c r="E360" s="1">
        <f t="shared" si="36"/>
        <v>10.036394722761539</v>
      </c>
      <c r="F360" s="2">
        <f t="shared" si="37"/>
        <v>-2.970578794486034E-3</v>
      </c>
      <c r="G360" s="1">
        <f t="shared" si="38"/>
        <v>9.9756627536359073</v>
      </c>
      <c r="H360" s="1">
        <f t="shared" si="39"/>
        <v>-8.4977169987687784E-4</v>
      </c>
      <c r="I360" s="1">
        <f t="shared" si="40"/>
        <v>9.993908270190957</v>
      </c>
      <c r="J360" s="1">
        <f t="shared" si="41"/>
        <v>-0.34899496702500821</v>
      </c>
    </row>
    <row r="361" spans="3:10">
      <c r="C361">
        <v>359</v>
      </c>
      <c r="D361" s="1">
        <f t="shared" si="35"/>
        <v>6.2657320146596431</v>
      </c>
      <c r="E361" s="1">
        <f t="shared" si="36"/>
        <v>10.009128551140151</v>
      </c>
      <c r="F361" s="2">
        <f t="shared" si="37"/>
        <v>-3.7195071209167319E-4</v>
      </c>
      <c r="G361" s="1">
        <f t="shared" si="38"/>
        <v>9.993909661770779</v>
      </c>
      <c r="H361" s="1">
        <f t="shared" si="39"/>
        <v>-1.063040100175161E-4</v>
      </c>
      <c r="I361" s="1">
        <f t="shared" si="40"/>
        <v>9.9984769515639123</v>
      </c>
      <c r="J361" s="1">
        <f t="shared" si="41"/>
        <v>-0.1745240643728356</v>
      </c>
    </row>
    <row r="362" spans="3:10">
      <c r="C362">
        <v>360</v>
      </c>
      <c r="D362" s="1">
        <f t="shared" si="35"/>
        <v>6.2831853071795862</v>
      </c>
      <c r="E362" s="1">
        <f t="shared" si="36"/>
        <v>10</v>
      </c>
      <c r="F362" s="2">
        <f t="shared" si="37"/>
        <v>0</v>
      </c>
      <c r="G362" s="1">
        <f t="shared" si="38"/>
        <v>10</v>
      </c>
      <c r="H362" s="1">
        <f t="shared" si="39"/>
        <v>0</v>
      </c>
      <c r="I362" s="1">
        <f t="shared" si="40"/>
        <v>10</v>
      </c>
      <c r="J362" s="1">
        <f t="shared" si="41"/>
        <v>-2.45029690981724E-15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CECA-38A3-4073-85BC-D5D39871D4C1}">
  <dimension ref="A1:G3"/>
  <sheetViews>
    <sheetView workbookViewId="0">
      <selection activeCell="F4" sqref="F4"/>
    </sheetView>
  </sheetViews>
  <sheetFormatPr defaultRowHeight="17.399999999999999"/>
  <cols>
    <col min="2" max="2" width="18.5" bestFit="1" customWidth="1"/>
  </cols>
  <sheetData>
    <row r="1" spans="1:7">
      <c r="A1" t="s">
        <v>23</v>
      </c>
    </row>
    <row r="2" spans="1:7">
      <c r="A2" t="s">
        <v>22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</row>
    <row r="3" spans="1:7">
      <c r="A3" t="s">
        <v>39</v>
      </c>
      <c r="B3" t="s">
        <v>41</v>
      </c>
      <c r="C3">
        <v>5</v>
      </c>
      <c r="E3">
        <v>10</v>
      </c>
      <c r="F3">
        <v>5</v>
      </c>
    </row>
  </sheetData>
  <autoFilter ref="A2:G2" xr:uid="{751CCECA-38A3-4073-85BC-D5D39871D4C1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A111E0-B5F0-4B08-89D1-356944183266}">
          <x14:formula1>
            <xm:f>Sheet3!$A:$A</xm:f>
          </x14:formula1>
          <xm:sqref>A3:A1048576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D222-FDDA-447F-A8CA-49BAC0D8227B}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D1CE-E692-4FD6-8530-A642A5A45181}">
  <dimension ref="A1:B9"/>
  <sheetViews>
    <sheetView workbookViewId="0">
      <selection activeCell="H26" sqref="H26"/>
    </sheetView>
  </sheetViews>
  <sheetFormatPr defaultRowHeight="17.399999999999999"/>
  <cols>
    <col min="1" max="1" width="20.69921875" bestFit="1" customWidth="1"/>
    <col min="2" max="2" width="20.09765625" bestFit="1" customWidth="1"/>
  </cols>
  <sheetData>
    <row r="1" spans="1:2">
      <c r="A1" t="s">
        <v>37</v>
      </c>
      <c r="B1" t="s">
        <v>38</v>
      </c>
    </row>
    <row r="2" spans="1:2">
      <c r="A2" t="s">
        <v>31</v>
      </c>
    </row>
    <row r="3" spans="1:2">
      <c r="A3" t="s">
        <v>32</v>
      </c>
    </row>
    <row r="4" spans="1:2">
      <c r="A4" t="s">
        <v>33</v>
      </c>
    </row>
    <row r="5" spans="1:2">
      <c r="A5" t="s">
        <v>30</v>
      </c>
    </row>
    <row r="6" spans="1:2">
      <c r="A6" t="s">
        <v>34</v>
      </c>
    </row>
    <row r="7" spans="1:2">
      <c r="A7" t="s">
        <v>35</v>
      </c>
    </row>
    <row r="8" spans="1:2">
      <c r="A8" t="s">
        <v>36</v>
      </c>
    </row>
    <row r="9" spans="1:2">
      <c r="A9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메인</vt:lpstr>
      <vt:lpstr>사이클로이드</vt:lpstr>
      <vt:lpstr>다이어프램 펌프</vt:lpstr>
      <vt:lpstr>치형연구</vt:lpstr>
      <vt:lpstr>에피,하이포</vt:lpstr>
      <vt:lpstr>기계요소</vt:lpstr>
      <vt:lpstr>전자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khw</dc:creator>
  <cp:lastModifiedBy>khw</cp:lastModifiedBy>
  <dcterms:created xsi:type="dcterms:W3CDTF">2026-03-26T01:44:14Z</dcterms:created>
  <dcterms:modified xsi:type="dcterms:W3CDTF">2026-04-09T07:39:25Z</dcterms:modified>
</cp:coreProperties>
</file>